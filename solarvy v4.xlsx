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1809678B-4523-4E4A-A7D6-478987B99CF7}" xr6:coauthVersionLast="36" xr6:coauthVersionMax="47" xr10:uidLastSave="{00000000-0000-0000-0000-000000000000}"/>
  <bookViews>
    <workbookView xWindow="-105" yWindow="-105" windowWidth="19425" windowHeight="11505" tabRatio="880" activeTab="7" xr2:uid="{00000000-000D-0000-FFFF-FFFF00000000}"/>
  </bookViews>
  <sheets>
    <sheet name="Overview" sheetId="1" r:id="rId1"/>
    <sheet name="User_Inputs" sheetId="2" r:id="rId2"/>
    <sheet name="Bill_Input" sheetId="3" r:id="rId3"/>
    <sheet name="Equipment Default" sheetId="18" r:id="rId4"/>
    <sheet name="Category Menu" sheetId="19" r:id="rId5"/>
    <sheet name="Appliance_Library" sheetId="4" r:id="rId6"/>
    <sheet name="Appliance_Input" sheetId="5" r:id="rId7"/>
    <sheet name="Custom_Equipment" sheetId="6" r:id="rId8"/>
    <sheet name="Objective_Logic" sheetId="7" r:id="rId9"/>
    <sheet name="Assumptions" sheetId="8" r:id="rId10"/>
    <sheet name="Load_Estimation" sheetId="9" r:id="rId11"/>
    <sheet name="Battery_Sizing" sheetId="11" r:id="rId12"/>
    <sheet name="Solar_Sizing" sheetId="10" r:id="rId13"/>
    <sheet name="Diesel_Economics" sheetId="12" r:id="rId14"/>
    <sheet name="Financial_Model" sheetId="13" r:id="rId15"/>
    <sheet name="Formula_Map" sheetId="16" r:id="rId16"/>
    <sheet name="Lead_Routing" sheetId="14" r:id="rId17"/>
    <sheet name="Outputs" sheetId="15" r:id="rId18"/>
    <sheet name="Developer_Bridge" sheetId="17" r:id="rId19"/>
    <sheet name="Customer_Profile" sheetId="22" r:id="rId20"/>
    <sheet name="Installer_Database" sheetId="20" r:id="rId21"/>
    <sheet name="Match_Engine" sheetId="21" r:id="rId22"/>
    <sheet name="Installer_Results_Output" sheetId="23" r:id="rId23"/>
    <sheet name="Introduction_Tracker" sheetId="24" r:id="rId24"/>
    <sheet name="Quote_Review_Tracker" sheetId="25" r:id="rId25"/>
  </sheets>
  <externalReferences>
    <externalReference r:id="rId26"/>
  </externalReferences>
  <definedNames>
    <definedName name="Commercial">User_Inputs!$L$20:$L$28</definedName>
    <definedName name="Factory">User_Inputs!$L$31:$L$38</definedName>
    <definedName name="Home">User_Inputs!$L$4:$L$10</definedName>
    <definedName name="Hospital">User_Inputs!$L$41:$L$45</definedName>
    <definedName name="Hotel">User_Inputs!$L$13:$L$17</definedName>
    <definedName name="School">User_Inputs!$L$48:$L$53</definedName>
  </definedNames>
  <calcPr calcId="191029"/>
</workbook>
</file>

<file path=xl/calcChain.xml><?xml version="1.0" encoding="utf-8"?>
<calcChain xmlns="http://schemas.openxmlformats.org/spreadsheetml/2006/main">
  <c r="B5" i="3" l="1"/>
  <c r="B7" i="3"/>
  <c r="B9" i="3" s="1"/>
  <c r="C11" i="2"/>
  <c r="D11" i="2" s="1"/>
  <c r="A10" i="5" s="1"/>
  <c r="F30" i="5"/>
  <c r="G30" i="5" s="1"/>
  <c r="H30" i="5" s="1"/>
  <c r="F24" i="5"/>
  <c r="G24" i="5" s="1"/>
  <c r="H24" i="5" s="1"/>
  <c r="F25" i="5"/>
  <c r="G25" i="5" s="1"/>
  <c r="H25" i="5" s="1"/>
  <c r="F26" i="5"/>
  <c r="I26" i="5" s="1"/>
  <c r="F27" i="5"/>
  <c r="G27" i="5" s="1"/>
  <c r="H27" i="5" s="1"/>
  <c r="F28" i="5"/>
  <c r="G28" i="5" s="1"/>
  <c r="H28" i="5" s="1"/>
  <c r="F29" i="5"/>
  <c r="I29" i="5" s="1"/>
  <c r="B4" i="11"/>
  <c r="B6" i="11"/>
  <c r="B10" i="22"/>
  <c r="C7" i="23"/>
  <c r="B7" i="23"/>
  <c r="B8" i="22"/>
  <c r="C8" i="23" s="1"/>
  <c r="B6" i="23"/>
  <c r="B5" i="23"/>
  <c r="C6" i="21"/>
  <c r="J6" i="21" s="1"/>
  <c r="C7" i="21"/>
  <c r="S7" i="21" s="1"/>
  <c r="C8" i="21"/>
  <c r="J8" i="21" s="1"/>
  <c r="C9" i="21"/>
  <c r="C10" i="21"/>
  <c r="I10" i="21" s="1"/>
  <c r="C11" i="21"/>
  <c r="L11" i="21" s="1"/>
  <c r="C12" i="21"/>
  <c r="I12" i="21" s="1"/>
  <c r="C13" i="21"/>
  <c r="C14" i="21"/>
  <c r="L14" i="21" s="1"/>
  <c r="C15" i="21"/>
  <c r="S15" i="21" s="1"/>
  <c r="C16" i="21"/>
  <c r="L16" i="21" s="1"/>
  <c r="C17" i="21"/>
  <c r="C18" i="21"/>
  <c r="K18" i="21" s="1"/>
  <c r="C19" i="21"/>
  <c r="J19" i="21" s="1"/>
  <c r="C20" i="21"/>
  <c r="K20" i="21" s="1"/>
  <c r="C21" i="21"/>
  <c r="C22" i="21"/>
  <c r="J22" i="21" s="1"/>
  <c r="C23" i="21"/>
  <c r="K23" i="21" s="1"/>
  <c r="C24" i="21"/>
  <c r="J24" i="21" s="1"/>
  <c r="C25" i="21"/>
  <c r="C26" i="21"/>
  <c r="S26" i="21" s="1"/>
  <c r="C27" i="21"/>
  <c r="L27" i="21" s="1"/>
  <c r="C28" i="21"/>
  <c r="I28" i="21" s="1"/>
  <c r="C29" i="21"/>
  <c r="C30" i="21"/>
  <c r="L30" i="21" s="1"/>
  <c r="C31" i="21"/>
  <c r="S31" i="21" s="1"/>
  <c r="C32" i="21"/>
  <c r="L32" i="21" s="1"/>
  <c r="C33" i="21"/>
  <c r="C34" i="21"/>
  <c r="K34" i="21" s="1"/>
  <c r="C35" i="21"/>
  <c r="J35" i="21" s="1"/>
  <c r="C36" i="21"/>
  <c r="K36" i="21" s="1"/>
  <c r="C37" i="21"/>
  <c r="C38" i="21"/>
  <c r="J38" i="21" s="1"/>
  <c r="C39" i="21"/>
  <c r="K39" i="21" s="1"/>
  <c r="C40" i="21"/>
  <c r="J40" i="21" s="1"/>
  <c r="C41" i="21"/>
  <c r="C42" i="21"/>
  <c r="S42" i="21" s="1"/>
  <c r="C43" i="21"/>
  <c r="L43" i="21" s="1"/>
  <c r="C44" i="21"/>
  <c r="S44" i="21" s="1"/>
  <c r="C45" i="21"/>
  <c r="C46" i="21"/>
  <c r="L46" i="21" s="1"/>
  <c r="C47" i="21"/>
  <c r="S47" i="21" s="1"/>
  <c r="C48" i="21"/>
  <c r="L48" i="21" s="1"/>
  <c r="C49" i="21"/>
  <c r="C50" i="21"/>
  <c r="K50" i="21" s="1"/>
  <c r="C51" i="21"/>
  <c r="J51" i="21" s="1"/>
  <c r="C52" i="21"/>
  <c r="K52" i="21" s="1"/>
  <c r="C53" i="21"/>
  <c r="C54" i="21"/>
  <c r="J54" i="21" s="1"/>
  <c r="C55" i="21"/>
  <c r="K55" i="21" s="1"/>
  <c r="C56" i="21"/>
  <c r="J56" i="21" s="1"/>
  <c r="C57" i="21"/>
  <c r="C58" i="21"/>
  <c r="S58" i="21" s="1"/>
  <c r="C59" i="21"/>
  <c r="L59" i="21" s="1"/>
  <c r="C60" i="21"/>
  <c r="S60" i="21" s="1"/>
  <c r="C61" i="21"/>
  <c r="C62" i="21"/>
  <c r="L62" i="21" s="1"/>
  <c r="C63" i="21"/>
  <c r="S63" i="21" s="1"/>
  <c r="C64" i="21"/>
  <c r="L64" i="21" s="1"/>
  <c r="C65" i="21"/>
  <c r="H65" i="21" s="1"/>
  <c r="C66" i="21"/>
  <c r="K66" i="21" s="1"/>
  <c r="C67" i="21"/>
  <c r="J67" i="21" s="1"/>
  <c r="C68" i="21"/>
  <c r="K68" i="21" s="1"/>
  <c r="C69" i="21"/>
  <c r="C70" i="21"/>
  <c r="J70" i="21" s="1"/>
  <c r="C71" i="21"/>
  <c r="K71" i="21" s="1"/>
  <c r="C72" i="21"/>
  <c r="J72" i="21" s="1"/>
  <c r="C73" i="21"/>
  <c r="H73" i="21" s="1"/>
  <c r="C74" i="21"/>
  <c r="S74" i="21" s="1"/>
  <c r="C75" i="21"/>
  <c r="L75" i="21" s="1"/>
  <c r="C76" i="21"/>
  <c r="H76" i="21" s="1"/>
  <c r="C77" i="21"/>
  <c r="C78" i="21"/>
  <c r="L78" i="21" s="1"/>
  <c r="C79" i="21"/>
  <c r="S79" i="21" s="1"/>
  <c r="C80" i="21"/>
  <c r="L80" i="21" s="1"/>
  <c r="C81" i="21"/>
  <c r="H81" i="21" s="1"/>
  <c r="C82" i="21"/>
  <c r="K82" i="21" s="1"/>
  <c r="C83" i="21"/>
  <c r="J83" i="21" s="1"/>
  <c r="C84" i="21"/>
  <c r="K84" i="21" s="1"/>
  <c r="C85" i="21"/>
  <c r="C86" i="21"/>
  <c r="J86" i="21" s="1"/>
  <c r="C87" i="21"/>
  <c r="K87" i="21" s="1"/>
  <c r="C88" i="21"/>
  <c r="J88" i="21" s="1"/>
  <c r="C89" i="21"/>
  <c r="H89" i="21" s="1"/>
  <c r="C90" i="21"/>
  <c r="S90" i="21" s="1"/>
  <c r="C91" i="21"/>
  <c r="L91" i="21" s="1"/>
  <c r="C92" i="21"/>
  <c r="H92" i="21" s="1"/>
  <c r="C93" i="21"/>
  <c r="C94" i="21"/>
  <c r="L94" i="21" s="1"/>
  <c r="C95" i="21"/>
  <c r="S95" i="21" s="1"/>
  <c r="C96" i="21"/>
  <c r="L96" i="21" s="1"/>
  <c r="C97" i="21"/>
  <c r="H97" i="21" s="1"/>
  <c r="C98" i="21"/>
  <c r="K98" i="21" s="1"/>
  <c r="C99" i="21"/>
  <c r="J99" i="21" s="1"/>
  <c r="C100" i="21"/>
  <c r="K100" i="21" s="1"/>
  <c r="C101" i="21"/>
  <c r="C102" i="21"/>
  <c r="J102" i="21" s="1"/>
  <c r="C103" i="21"/>
  <c r="K103" i="21" s="1"/>
  <c r="C104" i="21"/>
  <c r="J104" i="21" s="1"/>
  <c r="C5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6" i="21"/>
  <c r="B7" i="21"/>
  <c r="B8" i="21"/>
  <c r="B9" i="21"/>
  <c r="B10" i="21"/>
  <c r="B5" i="21"/>
  <c r="C6" i="23"/>
  <c r="C5" i="23"/>
  <c r="N102" i="21"/>
  <c r="N103" i="21"/>
  <c r="N104" i="21"/>
  <c r="A102" i="21"/>
  <c r="A103" i="21"/>
  <c r="A104" i="21"/>
  <c r="N101" i="21"/>
  <c r="A101" i="21"/>
  <c r="N100" i="21"/>
  <c r="A100" i="21"/>
  <c r="N99" i="21"/>
  <c r="A99" i="21"/>
  <c r="N98" i="21"/>
  <c r="A98" i="21"/>
  <c r="N97" i="21"/>
  <c r="A97" i="21"/>
  <c r="N96" i="21"/>
  <c r="A96" i="21"/>
  <c r="N95" i="21"/>
  <c r="A95" i="21"/>
  <c r="N94" i="21"/>
  <c r="A94" i="21"/>
  <c r="N93" i="21"/>
  <c r="A93" i="21"/>
  <c r="N92" i="21"/>
  <c r="A92" i="21"/>
  <c r="N91" i="21"/>
  <c r="A91" i="21"/>
  <c r="N90" i="21"/>
  <c r="A90" i="21"/>
  <c r="N89" i="21"/>
  <c r="A89" i="21"/>
  <c r="N88" i="21"/>
  <c r="A88" i="21"/>
  <c r="N87" i="21"/>
  <c r="A87" i="21"/>
  <c r="N86" i="21"/>
  <c r="A86" i="21"/>
  <c r="N85" i="21"/>
  <c r="A85" i="21"/>
  <c r="N84" i="21"/>
  <c r="A84" i="21"/>
  <c r="N83" i="21"/>
  <c r="A83" i="21"/>
  <c r="N82" i="21"/>
  <c r="A82" i="21"/>
  <c r="N81" i="21"/>
  <c r="A81" i="21"/>
  <c r="N80" i="21"/>
  <c r="A80" i="21"/>
  <c r="N79" i="21"/>
  <c r="A79" i="21"/>
  <c r="N78" i="21"/>
  <c r="A78" i="21"/>
  <c r="N77" i="21"/>
  <c r="A77" i="21"/>
  <c r="N76" i="21"/>
  <c r="A76" i="21"/>
  <c r="N75" i="21"/>
  <c r="A75" i="21"/>
  <c r="N74" i="21"/>
  <c r="A74" i="21"/>
  <c r="N73" i="21"/>
  <c r="A73" i="21"/>
  <c r="N72" i="21"/>
  <c r="A72" i="21"/>
  <c r="N71" i="21"/>
  <c r="A71" i="21"/>
  <c r="N70" i="21"/>
  <c r="A70" i="21"/>
  <c r="N69" i="21"/>
  <c r="A69" i="21"/>
  <c r="N68" i="21"/>
  <c r="A68" i="21"/>
  <c r="N67" i="21"/>
  <c r="A67" i="21"/>
  <c r="N66" i="21"/>
  <c r="A66" i="21"/>
  <c r="N65" i="21"/>
  <c r="A65" i="21"/>
  <c r="N64" i="21"/>
  <c r="A64" i="21"/>
  <c r="N63" i="21"/>
  <c r="A63" i="21"/>
  <c r="N62" i="21"/>
  <c r="A62" i="21"/>
  <c r="N61" i="21"/>
  <c r="A61" i="21"/>
  <c r="N60" i="21"/>
  <c r="A60" i="21"/>
  <c r="N59" i="21"/>
  <c r="A59" i="21"/>
  <c r="N58" i="21"/>
  <c r="A58" i="21"/>
  <c r="N57" i="21"/>
  <c r="A57" i="21"/>
  <c r="N56" i="21"/>
  <c r="A56" i="21"/>
  <c r="N55" i="21"/>
  <c r="A55" i="21"/>
  <c r="N54" i="21"/>
  <c r="A54" i="21"/>
  <c r="N53" i="21"/>
  <c r="A53" i="21"/>
  <c r="N52" i="21"/>
  <c r="A52" i="21"/>
  <c r="N51" i="21"/>
  <c r="A51" i="21"/>
  <c r="N50" i="21"/>
  <c r="A50" i="21"/>
  <c r="N49" i="21"/>
  <c r="A49" i="21"/>
  <c r="N48" i="21"/>
  <c r="A48" i="21"/>
  <c r="N47" i="21"/>
  <c r="A47" i="21"/>
  <c r="N46" i="21"/>
  <c r="A46" i="21"/>
  <c r="N45" i="21"/>
  <c r="A45" i="21"/>
  <c r="N44" i="21"/>
  <c r="A44" i="21"/>
  <c r="N43" i="21"/>
  <c r="A43" i="21"/>
  <c r="N42" i="21"/>
  <c r="A42" i="21"/>
  <c r="N41" i="21"/>
  <c r="A41" i="21"/>
  <c r="N40" i="21"/>
  <c r="A40" i="21"/>
  <c r="N39" i="21"/>
  <c r="A39" i="21"/>
  <c r="N38" i="21"/>
  <c r="A38" i="21"/>
  <c r="N37" i="21"/>
  <c r="A37" i="21"/>
  <c r="N36" i="21"/>
  <c r="A36" i="21"/>
  <c r="N35" i="21"/>
  <c r="A35" i="21"/>
  <c r="N34" i="21"/>
  <c r="A34" i="21"/>
  <c r="N33" i="21"/>
  <c r="A33" i="21"/>
  <c r="N32" i="21"/>
  <c r="A32" i="21"/>
  <c r="N31" i="21"/>
  <c r="A31" i="21"/>
  <c r="N30" i="21"/>
  <c r="A30" i="21"/>
  <c r="N29" i="21"/>
  <c r="A29" i="21"/>
  <c r="N28" i="21"/>
  <c r="A28" i="21"/>
  <c r="N27" i="21"/>
  <c r="A27" i="21"/>
  <c r="N26" i="21"/>
  <c r="A26" i="21"/>
  <c r="N25" i="21"/>
  <c r="A25" i="21"/>
  <c r="N24" i="21"/>
  <c r="A24" i="21"/>
  <c r="N23" i="21"/>
  <c r="A23" i="21"/>
  <c r="N22" i="21"/>
  <c r="A22" i="21"/>
  <c r="N21" i="21"/>
  <c r="A21" i="21"/>
  <c r="N20" i="21"/>
  <c r="A20" i="21"/>
  <c r="N19" i="21"/>
  <c r="A19" i="21"/>
  <c r="N18" i="21"/>
  <c r="A18" i="21"/>
  <c r="N17" i="21"/>
  <c r="A17" i="21"/>
  <c r="N16" i="21"/>
  <c r="A16" i="21"/>
  <c r="N15" i="21"/>
  <c r="A15" i="21"/>
  <c r="N14" i="21"/>
  <c r="A14" i="21"/>
  <c r="N13" i="21"/>
  <c r="A13" i="21"/>
  <c r="N12" i="21"/>
  <c r="A12" i="21"/>
  <c r="N11" i="21"/>
  <c r="A11" i="21"/>
  <c r="N10" i="21"/>
  <c r="A10" i="21"/>
  <c r="N9" i="21"/>
  <c r="A9" i="21"/>
  <c r="N8" i="21"/>
  <c r="A8" i="21"/>
  <c r="N7" i="21"/>
  <c r="A7" i="21"/>
  <c r="N6" i="21"/>
  <c r="A6" i="21"/>
  <c r="N5" i="21"/>
  <c r="A5" i="21"/>
  <c r="M312" i="4"/>
  <c r="N312" i="4" s="1"/>
  <c r="K312" i="4"/>
  <c r="L312" i="4" s="1"/>
  <c r="M311" i="4"/>
  <c r="N311" i="4" s="1"/>
  <c r="K311" i="4"/>
  <c r="L311" i="4" s="1"/>
  <c r="M310" i="4"/>
  <c r="N310" i="4" s="1"/>
  <c r="K310" i="4"/>
  <c r="L310" i="4" s="1"/>
  <c r="M309" i="4"/>
  <c r="N309" i="4" s="1"/>
  <c r="K309" i="4"/>
  <c r="L309" i="4" s="1"/>
  <c r="M308" i="4"/>
  <c r="N308" i="4" s="1"/>
  <c r="K308" i="4"/>
  <c r="L308" i="4" s="1"/>
  <c r="M307" i="4"/>
  <c r="N307" i="4" s="1"/>
  <c r="K307" i="4"/>
  <c r="L307" i="4" s="1"/>
  <c r="M306" i="4"/>
  <c r="N306" i="4" s="1"/>
  <c r="K306" i="4"/>
  <c r="L306" i="4" s="1"/>
  <c r="M305" i="4"/>
  <c r="N305" i="4" s="1"/>
  <c r="K305" i="4"/>
  <c r="L305" i="4" s="1"/>
  <c r="M304" i="4"/>
  <c r="N304" i="4" s="1"/>
  <c r="K304" i="4"/>
  <c r="L304" i="4" s="1"/>
  <c r="M303" i="4"/>
  <c r="N303" i="4" s="1"/>
  <c r="K303" i="4"/>
  <c r="L303" i="4" s="1"/>
  <c r="M302" i="4"/>
  <c r="N302" i="4" s="1"/>
  <c r="K302" i="4"/>
  <c r="L302" i="4" s="1"/>
  <c r="M301" i="4"/>
  <c r="N301" i="4" s="1"/>
  <c r="K301" i="4"/>
  <c r="L301" i="4" s="1"/>
  <c r="M300" i="4"/>
  <c r="N300" i="4" s="1"/>
  <c r="K300" i="4"/>
  <c r="L300" i="4" s="1"/>
  <c r="M299" i="4"/>
  <c r="N299" i="4" s="1"/>
  <c r="K299" i="4"/>
  <c r="L299" i="4" s="1"/>
  <c r="M298" i="4"/>
  <c r="N298" i="4" s="1"/>
  <c r="K298" i="4"/>
  <c r="L298" i="4" s="1"/>
  <c r="M297" i="4"/>
  <c r="N297" i="4" s="1"/>
  <c r="K297" i="4"/>
  <c r="L297" i="4" s="1"/>
  <c r="M296" i="4"/>
  <c r="N296" i="4" s="1"/>
  <c r="K296" i="4"/>
  <c r="L296" i="4" s="1"/>
  <c r="M295" i="4"/>
  <c r="N295" i="4" s="1"/>
  <c r="K295" i="4"/>
  <c r="L295" i="4" s="1"/>
  <c r="M294" i="4"/>
  <c r="N294" i="4" s="1"/>
  <c r="K294" i="4"/>
  <c r="L294" i="4" s="1"/>
  <c r="M293" i="4"/>
  <c r="N293" i="4" s="1"/>
  <c r="K293" i="4"/>
  <c r="L293" i="4" s="1"/>
  <c r="M292" i="4"/>
  <c r="N292" i="4" s="1"/>
  <c r="K292" i="4"/>
  <c r="L292" i="4" s="1"/>
  <c r="M291" i="4"/>
  <c r="N291" i="4" s="1"/>
  <c r="K291" i="4"/>
  <c r="L291" i="4" s="1"/>
  <c r="M290" i="4"/>
  <c r="N290" i="4" s="1"/>
  <c r="K290" i="4"/>
  <c r="L290" i="4" s="1"/>
  <c r="M289" i="4"/>
  <c r="N289" i="4" s="1"/>
  <c r="K289" i="4"/>
  <c r="L289" i="4" s="1"/>
  <c r="M288" i="4"/>
  <c r="N288" i="4" s="1"/>
  <c r="K288" i="4"/>
  <c r="L288" i="4" s="1"/>
  <c r="M287" i="4"/>
  <c r="N287" i="4" s="1"/>
  <c r="K287" i="4"/>
  <c r="L287" i="4" s="1"/>
  <c r="M286" i="4"/>
  <c r="N286" i="4" s="1"/>
  <c r="K286" i="4"/>
  <c r="L286" i="4" s="1"/>
  <c r="M285" i="4"/>
  <c r="N285" i="4" s="1"/>
  <c r="K285" i="4"/>
  <c r="L285" i="4" s="1"/>
  <c r="M284" i="4"/>
  <c r="N284" i="4" s="1"/>
  <c r="K284" i="4"/>
  <c r="L284" i="4" s="1"/>
  <c r="M283" i="4"/>
  <c r="N283" i="4" s="1"/>
  <c r="K283" i="4"/>
  <c r="L283" i="4" s="1"/>
  <c r="M282" i="4"/>
  <c r="N282" i="4" s="1"/>
  <c r="K282" i="4"/>
  <c r="L282" i="4" s="1"/>
  <c r="M281" i="4"/>
  <c r="N281" i="4" s="1"/>
  <c r="K281" i="4"/>
  <c r="L281" i="4" s="1"/>
  <c r="M280" i="4"/>
  <c r="N280" i="4" s="1"/>
  <c r="K280" i="4"/>
  <c r="L280" i="4" s="1"/>
  <c r="M279" i="4"/>
  <c r="N279" i="4" s="1"/>
  <c r="K279" i="4"/>
  <c r="L279" i="4" s="1"/>
  <c r="M278" i="4"/>
  <c r="N278" i="4" s="1"/>
  <c r="K278" i="4"/>
  <c r="L278" i="4" s="1"/>
  <c r="M277" i="4"/>
  <c r="N277" i="4" s="1"/>
  <c r="K277" i="4"/>
  <c r="L277" i="4" s="1"/>
  <c r="M276" i="4"/>
  <c r="N276" i="4" s="1"/>
  <c r="K276" i="4"/>
  <c r="L276" i="4" s="1"/>
  <c r="M275" i="4"/>
  <c r="N275" i="4" s="1"/>
  <c r="K275" i="4"/>
  <c r="L275" i="4" s="1"/>
  <c r="M274" i="4"/>
  <c r="N274" i="4" s="1"/>
  <c r="K274" i="4"/>
  <c r="L274" i="4" s="1"/>
  <c r="M273" i="4"/>
  <c r="N273" i="4" s="1"/>
  <c r="K273" i="4"/>
  <c r="L273" i="4" s="1"/>
  <c r="M272" i="4"/>
  <c r="N272" i="4" s="1"/>
  <c r="K272" i="4"/>
  <c r="L272" i="4" s="1"/>
  <c r="M271" i="4"/>
  <c r="N271" i="4" s="1"/>
  <c r="K271" i="4"/>
  <c r="L271" i="4" s="1"/>
  <c r="M270" i="4"/>
  <c r="N270" i="4" s="1"/>
  <c r="K270" i="4"/>
  <c r="L270" i="4" s="1"/>
  <c r="M269" i="4"/>
  <c r="N269" i="4" s="1"/>
  <c r="K269" i="4"/>
  <c r="L269" i="4" s="1"/>
  <c r="M268" i="4"/>
  <c r="N268" i="4" s="1"/>
  <c r="K268" i="4"/>
  <c r="L268" i="4" s="1"/>
  <c r="M267" i="4"/>
  <c r="N267" i="4" s="1"/>
  <c r="K267" i="4"/>
  <c r="L267" i="4" s="1"/>
  <c r="M266" i="4"/>
  <c r="N266" i="4" s="1"/>
  <c r="K266" i="4"/>
  <c r="L266" i="4" s="1"/>
  <c r="M265" i="4"/>
  <c r="N265" i="4" s="1"/>
  <c r="K265" i="4"/>
  <c r="L265" i="4" s="1"/>
  <c r="M264" i="4"/>
  <c r="N264" i="4" s="1"/>
  <c r="K264" i="4"/>
  <c r="L264" i="4" s="1"/>
  <c r="M263" i="4"/>
  <c r="N263" i="4" s="1"/>
  <c r="K263" i="4"/>
  <c r="L263" i="4" s="1"/>
  <c r="M262" i="4"/>
  <c r="N262" i="4" s="1"/>
  <c r="K262" i="4"/>
  <c r="L262" i="4" s="1"/>
  <c r="M261" i="4"/>
  <c r="N261" i="4" s="1"/>
  <c r="K261" i="4"/>
  <c r="L261" i="4" s="1"/>
  <c r="M260" i="4"/>
  <c r="N260" i="4" s="1"/>
  <c r="K260" i="4"/>
  <c r="L260" i="4" s="1"/>
  <c r="M259" i="4"/>
  <c r="N259" i="4" s="1"/>
  <c r="K259" i="4"/>
  <c r="L259" i="4" s="1"/>
  <c r="M258" i="4"/>
  <c r="N258" i="4" s="1"/>
  <c r="K258" i="4"/>
  <c r="L258" i="4" s="1"/>
  <c r="M257" i="4"/>
  <c r="N257" i="4" s="1"/>
  <c r="K257" i="4"/>
  <c r="L257" i="4" s="1"/>
  <c r="M256" i="4"/>
  <c r="N256" i="4" s="1"/>
  <c r="K256" i="4"/>
  <c r="L256" i="4" s="1"/>
  <c r="M255" i="4"/>
  <c r="N255" i="4" s="1"/>
  <c r="K255" i="4"/>
  <c r="L255" i="4" s="1"/>
  <c r="M254" i="4"/>
  <c r="N254" i="4" s="1"/>
  <c r="K254" i="4"/>
  <c r="L254" i="4" s="1"/>
  <c r="M253" i="4"/>
  <c r="N253" i="4" s="1"/>
  <c r="K253" i="4"/>
  <c r="L253" i="4" s="1"/>
  <c r="M252" i="4"/>
  <c r="N252" i="4" s="1"/>
  <c r="K252" i="4"/>
  <c r="L252" i="4" s="1"/>
  <c r="M251" i="4"/>
  <c r="N251" i="4" s="1"/>
  <c r="K251" i="4"/>
  <c r="L251" i="4" s="1"/>
  <c r="M250" i="4"/>
  <c r="N250" i="4" s="1"/>
  <c r="K250" i="4"/>
  <c r="L250" i="4" s="1"/>
  <c r="M249" i="4"/>
  <c r="N249" i="4" s="1"/>
  <c r="K249" i="4"/>
  <c r="L249" i="4" s="1"/>
  <c r="M248" i="4"/>
  <c r="N248" i="4" s="1"/>
  <c r="K248" i="4"/>
  <c r="L248" i="4" s="1"/>
  <c r="M247" i="4"/>
  <c r="N247" i="4" s="1"/>
  <c r="K247" i="4"/>
  <c r="L247" i="4" s="1"/>
  <c r="M246" i="4"/>
  <c r="N246" i="4" s="1"/>
  <c r="K246" i="4"/>
  <c r="L246" i="4" s="1"/>
  <c r="M245" i="4"/>
  <c r="N245" i="4" s="1"/>
  <c r="K245" i="4"/>
  <c r="L245" i="4" s="1"/>
  <c r="M244" i="4"/>
  <c r="N244" i="4" s="1"/>
  <c r="K244" i="4"/>
  <c r="L244" i="4" s="1"/>
  <c r="M243" i="4"/>
  <c r="N243" i="4" s="1"/>
  <c r="K243" i="4"/>
  <c r="L243" i="4" s="1"/>
  <c r="M242" i="4"/>
  <c r="N242" i="4" s="1"/>
  <c r="K242" i="4"/>
  <c r="L242" i="4" s="1"/>
  <c r="M241" i="4"/>
  <c r="N241" i="4" s="1"/>
  <c r="K241" i="4"/>
  <c r="L241" i="4" s="1"/>
  <c r="M240" i="4"/>
  <c r="N240" i="4" s="1"/>
  <c r="K240" i="4"/>
  <c r="L240" i="4" s="1"/>
  <c r="M239" i="4"/>
  <c r="N239" i="4" s="1"/>
  <c r="K239" i="4"/>
  <c r="L239" i="4" s="1"/>
  <c r="M238" i="4"/>
  <c r="N238" i="4" s="1"/>
  <c r="K238" i="4"/>
  <c r="L238" i="4" s="1"/>
  <c r="M237" i="4"/>
  <c r="N237" i="4" s="1"/>
  <c r="K237" i="4"/>
  <c r="L237" i="4" s="1"/>
  <c r="M236" i="4"/>
  <c r="N236" i="4" s="1"/>
  <c r="K236" i="4"/>
  <c r="L236" i="4" s="1"/>
  <c r="M235" i="4"/>
  <c r="N235" i="4" s="1"/>
  <c r="K235" i="4"/>
  <c r="L235" i="4" s="1"/>
  <c r="M234" i="4"/>
  <c r="N234" i="4" s="1"/>
  <c r="K234" i="4"/>
  <c r="L234" i="4" s="1"/>
  <c r="M233" i="4"/>
  <c r="N233" i="4" s="1"/>
  <c r="K233" i="4"/>
  <c r="L233" i="4" s="1"/>
  <c r="M232" i="4"/>
  <c r="N232" i="4" s="1"/>
  <c r="K232" i="4"/>
  <c r="L232" i="4" s="1"/>
  <c r="M231" i="4"/>
  <c r="N231" i="4" s="1"/>
  <c r="K231" i="4"/>
  <c r="L231" i="4" s="1"/>
  <c r="M230" i="4"/>
  <c r="N230" i="4" s="1"/>
  <c r="K230" i="4"/>
  <c r="L230" i="4" s="1"/>
  <c r="M229" i="4"/>
  <c r="N229" i="4" s="1"/>
  <c r="K229" i="4"/>
  <c r="L229" i="4" s="1"/>
  <c r="M228" i="4"/>
  <c r="N228" i="4" s="1"/>
  <c r="K228" i="4"/>
  <c r="L228" i="4" s="1"/>
  <c r="M227" i="4"/>
  <c r="N227" i="4" s="1"/>
  <c r="K227" i="4"/>
  <c r="L227" i="4" s="1"/>
  <c r="M226" i="4"/>
  <c r="N226" i="4" s="1"/>
  <c r="K226" i="4"/>
  <c r="L226" i="4" s="1"/>
  <c r="M225" i="4"/>
  <c r="N225" i="4" s="1"/>
  <c r="K225" i="4"/>
  <c r="L225" i="4" s="1"/>
  <c r="M224" i="4"/>
  <c r="N224" i="4" s="1"/>
  <c r="K224" i="4"/>
  <c r="L224" i="4" s="1"/>
  <c r="M223" i="4"/>
  <c r="N223" i="4" s="1"/>
  <c r="K223" i="4"/>
  <c r="L223" i="4" s="1"/>
  <c r="M222" i="4"/>
  <c r="N222" i="4" s="1"/>
  <c r="K222" i="4"/>
  <c r="L222" i="4" s="1"/>
  <c r="M221" i="4"/>
  <c r="N221" i="4" s="1"/>
  <c r="K221" i="4"/>
  <c r="L221" i="4" s="1"/>
  <c r="M220" i="4"/>
  <c r="N220" i="4" s="1"/>
  <c r="K220" i="4"/>
  <c r="L220" i="4" s="1"/>
  <c r="M219" i="4"/>
  <c r="N219" i="4" s="1"/>
  <c r="K219" i="4"/>
  <c r="L219" i="4" s="1"/>
  <c r="M218" i="4"/>
  <c r="N218" i="4" s="1"/>
  <c r="K218" i="4"/>
  <c r="L218" i="4" s="1"/>
  <c r="M217" i="4"/>
  <c r="N217" i="4" s="1"/>
  <c r="K217" i="4"/>
  <c r="L217" i="4" s="1"/>
  <c r="M216" i="4"/>
  <c r="N216" i="4" s="1"/>
  <c r="K216" i="4"/>
  <c r="L216" i="4" s="1"/>
  <c r="M215" i="4"/>
  <c r="N215" i="4" s="1"/>
  <c r="K215" i="4"/>
  <c r="L215" i="4" s="1"/>
  <c r="M214" i="4"/>
  <c r="N214" i="4" s="1"/>
  <c r="K214" i="4"/>
  <c r="L214" i="4" s="1"/>
  <c r="M213" i="4"/>
  <c r="N213" i="4" s="1"/>
  <c r="K213" i="4"/>
  <c r="L213" i="4" s="1"/>
  <c r="M212" i="4"/>
  <c r="N212" i="4" s="1"/>
  <c r="K212" i="4"/>
  <c r="L212" i="4" s="1"/>
  <c r="M211" i="4"/>
  <c r="N211" i="4" s="1"/>
  <c r="K211" i="4"/>
  <c r="L211" i="4" s="1"/>
  <c r="M210" i="4"/>
  <c r="N210" i="4" s="1"/>
  <c r="K210" i="4"/>
  <c r="L210" i="4" s="1"/>
  <c r="M209" i="4"/>
  <c r="N209" i="4" s="1"/>
  <c r="K209" i="4"/>
  <c r="L209" i="4" s="1"/>
  <c r="M208" i="4"/>
  <c r="N208" i="4" s="1"/>
  <c r="K208" i="4"/>
  <c r="L208" i="4" s="1"/>
  <c r="M207" i="4"/>
  <c r="N207" i="4" s="1"/>
  <c r="K207" i="4"/>
  <c r="L207" i="4" s="1"/>
  <c r="M206" i="4"/>
  <c r="N206" i="4" s="1"/>
  <c r="K206" i="4"/>
  <c r="L206" i="4" s="1"/>
  <c r="M205" i="4"/>
  <c r="N205" i="4" s="1"/>
  <c r="K205" i="4"/>
  <c r="L205" i="4" s="1"/>
  <c r="M204" i="4"/>
  <c r="N204" i="4" s="1"/>
  <c r="K204" i="4"/>
  <c r="L204" i="4" s="1"/>
  <c r="M203" i="4"/>
  <c r="N203" i="4" s="1"/>
  <c r="K203" i="4"/>
  <c r="L203" i="4" s="1"/>
  <c r="M202" i="4"/>
  <c r="N202" i="4" s="1"/>
  <c r="K202" i="4"/>
  <c r="L202" i="4" s="1"/>
  <c r="M201" i="4"/>
  <c r="N201" i="4" s="1"/>
  <c r="K201" i="4"/>
  <c r="L201" i="4" s="1"/>
  <c r="M200" i="4"/>
  <c r="N200" i="4" s="1"/>
  <c r="K200" i="4"/>
  <c r="L200" i="4" s="1"/>
  <c r="M199" i="4"/>
  <c r="N199" i="4" s="1"/>
  <c r="K199" i="4"/>
  <c r="L199" i="4" s="1"/>
  <c r="M198" i="4"/>
  <c r="N198" i="4" s="1"/>
  <c r="K198" i="4"/>
  <c r="L198" i="4" s="1"/>
  <c r="M197" i="4"/>
  <c r="N197" i="4" s="1"/>
  <c r="K197" i="4"/>
  <c r="L197" i="4" s="1"/>
  <c r="M196" i="4"/>
  <c r="N196" i="4" s="1"/>
  <c r="K196" i="4"/>
  <c r="L196" i="4" s="1"/>
  <c r="M195" i="4"/>
  <c r="N195" i="4" s="1"/>
  <c r="K195" i="4"/>
  <c r="L195" i="4" s="1"/>
  <c r="M194" i="4"/>
  <c r="N194" i="4" s="1"/>
  <c r="K194" i="4"/>
  <c r="L194" i="4" s="1"/>
  <c r="M193" i="4"/>
  <c r="N193" i="4" s="1"/>
  <c r="K193" i="4"/>
  <c r="L193" i="4" s="1"/>
  <c r="M192" i="4"/>
  <c r="N192" i="4" s="1"/>
  <c r="K192" i="4"/>
  <c r="L192" i="4" s="1"/>
  <c r="M191" i="4"/>
  <c r="N191" i="4" s="1"/>
  <c r="K191" i="4"/>
  <c r="L191" i="4" s="1"/>
  <c r="M190" i="4"/>
  <c r="N190" i="4" s="1"/>
  <c r="K190" i="4"/>
  <c r="L190" i="4" s="1"/>
  <c r="M189" i="4"/>
  <c r="N189" i="4" s="1"/>
  <c r="K189" i="4"/>
  <c r="L189" i="4" s="1"/>
  <c r="M188" i="4"/>
  <c r="N188" i="4" s="1"/>
  <c r="K188" i="4"/>
  <c r="L188" i="4" s="1"/>
  <c r="M187" i="4"/>
  <c r="N187" i="4" s="1"/>
  <c r="K187" i="4"/>
  <c r="L187" i="4" s="1"/>
  <c r="M186" i="4"/>
  <c r="N186" i="4" s="1"/>
  <c r="K186" i="4"/>
  <c r="L186" i="4" s="1"/>
  <c r="M185" i="4"/>
  <c r="N185" i="4" s="1"/>
  <c r="K185" i="4"/>
  <c r="L185" i="4" s="1"/>
  <c r="M184" i="4"/>
  <c r="N184" i="4" s="1"/>
  <c r="K184" i="4"/>
  <c r="L184" i="4" s="1"/>
  <c r="M183" i="4"/>
  <c r="N183" i="4" s="1"/>
  <c r="K183" i="4"/>
  <c r="L183" i="4" s="1"/>
  <c r="M182" i="4"/>
  <c r="N182" i="4" s="1"/>
  <c r="K182" i="4"/>
  <c r="L182" i="4" s="1"/>
  <c r="M181" i="4"/>
  <c r="N181" i="4" s="1"/>
  <c r="K181" i="4"/>
  <c r="L181" i="4" s="1"/>
  <c r="M180" i="4"/>
  <c r="N180" i="4" s="1"/>
  <c r="K180" i="4"/>
  <c r="L180" i="4" s="1"/>
  <c r="M179" i="4"/>
  <c r="N179" i="4" s="1"/>
  <c r="K179" i="4"/>
  <c r="L179" i="4" s="1"/>
  <c r="M178" i="4"/>
  <c r="N178" i="4" s="1"/>
  <c r="K178" i="4"/>
  <c r="L178" i="4" s="1"/>
  <c r="M177" i="4"/>
  <c r="N177" i="4" s="1"/>
  <c r="K177" i="4"/>
  <c r="L177" i="4" s="1"/>
  <c r="M176" i="4"/>
  <c r="N176" i="4" s="1"/>
  <c r="K176" i="4"/>
  <c r="L176" i="4" s="1"/>
  <c r="M175" i="4"/>
  <c r="N175" i="4" s="1"/>
  <c r="K175" i="4"/>
  <c r="L175" i="4" s="1"/>
  <c r="M174" i="4"/>
  <c r="N174" i="4" s="1"/>
  <c r="K174" i="4"/>
  <c r="L174" i="4" s="1"/>
  <c r="M173" i="4"/>
  <c r="N173" i="4" s="1"/>
  <c r="K173" i="4"/>
  <c r="L173" i="4" s="1"/>
  <c r="M172" i="4"/>
  <c r="N172" i="4" s="1"/>
  <c r="K172" i="4"/>
  <c r="L172" i="4" s="1"/>
  <c r="M171" i="4"/>
  <c r="N171" i="4" s="1"/>
  <c r="K171" i="4"/>
  <c r="L171" i="4" s="1"/>
  <c r="M170" i="4"/>
  <c r="N170" i="4" s="1"/>
  <c r="K170" i="4"/>
  <c r="L170" i="4" s="1"/>
  <c r="M169" i="4"/>
  <c r="N169" i="4" s="1"/>
  <c r="K169" i="4"/>
  <c r="L169" i="4" s="1"/>
  <c r="M168" i="4"/>
  <c r="N168" i="4" s="1"/>
  <c r="K168" i="4"/>
  <c r="L168" i="4" s="1"/>
  <c r="M167" i="4"/>
  <c r="N167" i="4" s="1"/>
  <c r="K167" i="4"/>
  <c r="L167" i="4" s="1"/>
  <c r="M166" i="4"/>
  <c r="N166" i="4" s="1"/>
  <c r="K166" i="4"/>
  <c r="L166" i="4" s="1"/>
  <c r="M165" i="4"/>
  <c r="N165" i="4" s="1"/>
  <c r="K165" i="4"/>
  <c r="L165" i="4" s="1"/>
  <c r="M164" i="4"/>
  <c r="N164" i="4" s="1"/>
  <c r="K164" i="4"/>
  <c r="L164" i="4" s="1"/>
  <c r="M163" i="4"/>
  <c r="N163" i="4" s="1"/>
  <c r="K163" i="4"/>
  <c r="L163" i="4" s="1"/>
  <c r="M162" i="4"/>
  <c r="N162" i="4" s="1"/>
  <c r="K162" i="4"/>
  <c r="L162" i="4" s="1"/>
  <c r="M161" i="4"/>
  <c r="N161" i="4" s="1"/>
  <c r="K161" i="4"/>
  <c r="L161" i="4" s="1"/>
  <c r="M160" i="4"/>
  <c r="N160" i="4" s="1"/>
  <c r="K160" i="4"/>
  <c r="L160" i="4" s="1"/>
  <c r="M159" i="4"/>
  <c r="N159" i="4" s="1"/>
  <c r="K159" i="4"/>
  <c r="L159" i="4" s="1"/>
  <c r="M158" i="4"/>
  <c r="N158" i="4" s="1"/>
  <c r="K158" i="4"/>
  <c r="L158" i="4" s="1"/>
  <c r="M157" i="4"/>
  <c r="N157" i="4" s="1"/>
  <c r="K157" i="4"/>
  <c r="L157" i="4" s="1"/>
  <c r="M156" i="4"/>
  <c r="N156" i="4" s="1"/>
  <c r="K156" i="4"/>
  <c r="L156" i="4" s="1"/>
  <c r="M155" i="4"/>
  <c r="N155" i="4" s="1"/>
  <c r="K155" i="4"/>
  <c r="L155" i="4" s="1"/>
  <c r="M154" i="4"/>
  <c r="N154" i="4" s="1"/>
  <c r="K154" i="4"/>
  <c r="L154" i="4" s="1"/>
  <c r="M153" i="4"/>
  <c r="N153" i="4" s="1"/>
  <c r="K153" i="4"/>
  <c r="L153" i="4" s="1"/>
  <c r="M152" i="4"/>
  <c r="N152" i="4" s="1"/>
  <c r="K152" i="4"/>
  <c r="L152" i="4" s="1"/>
  <c r="M151" i="4"/>
  <c r="N151" i="4" s="1"/>
  <c r="K151" i="4"/>
  <c r="L151" i="4" s="1"/>
  <c r="M150" i="4"/>
  <c r="N150" i="4" s="1"/>
  <c r="K150" i="4"/>
  <c r="L150" i="4" s="1"/>
  <c r="M149" i="4"/>
  <c r="N149" i="4" s="1"/>
  <c r="K149" i="4"/>
  <c r="L149" i="4" s="1"/>
  <c r="M148" i="4"/>
  <c r="N148" i="4" s="1"/>
  <c r="K148" i="4"/>
  <c r="L148" i="4" s="1"/>
  <c r="M147" i="4"/>
  <c r="N147" i="4" s="1"/>
  <c r="K147" i="4"/>
  <c r="L147" i="4" s="1"/>
  <c r="M146" i="4"/>
  <c r="N146" i="4" s="1"/>
  <c r="K146" i="4"/>
  <c r="L146" i="4" s="1"/>
  <c r="M145" i="4"/>
  <c r="N145" i="4" s="1"/>
  <c r="K145" i="4"/>
  <c r="L145" i="4" s="1"/>
  <c r="M144" i="4"/>
  <c r="N144" i="4" s="1"/>
  <c r="K144" i="4"/>
  <c r="L144" i="4" s="1"/>
  <c r="M143" i="4"/>
  <c r="N143" i="4" s="1"/>
  <c r="K143" i="4"/>
  <c r="L143" i="4" s="1"/>
  <c r="M142" i="4"/>
  <c r="N142" i="4" s="1"/>
  <c r="K142" i="4"/>
  <c r="L142" i="4" s="1"/>
  <c r="M141" i="4"/>
  <c r="N141" i="4" s="1"/>
  <c r="K141" i="4"/>
  <c r="L141" i="4" s="1"/>
  <c r="M140" i="4"/>
  <c r="N140" i="4" s="1"/>
  <c r="K140" i="4"/>
  <c r="L140" i="4" s="1"/>
  <c r="M139" i="4"/>
  <c r="N139" i="4" s="1"/>
  <c r="K139" i="4"/>
  <c r="L139" i="4" s="1"/>
  <c r="M138" i="4"/>
  <c r="N138" i="4" s="1"/>
  <c r="K138" i="4"/>
  <c r="L138" i="4" s="1"/>
  <c r="M137" i="4"/>
  <c r="N137" i="4" s="1"/>
  <c r="K137" i="4"/>
  <c r="L137" i="4" s="1"/>
  <c r="M136" i="4"/>
  <c r="N136" i="4" s="1"/>
  <c r="K136" i="4"/>
  <c r="L136" i="4" s="1"/>
  <c r="M135" i="4"/>
  <c r="N135" i="4" s="1"/>
  <c r="K135" i="4"/>
  <c r="L135" i="4" s="1"/>
  <c r="M134" i="4"/>
  <c r="N134" i="4" s="1"/>
  <c r="K134" i="4"/>
  <c r="L134" i="4" s="1"/>
  <c r="M133" i="4"/>
  <c r="N133" i="4" s="1"/>
  <c r="K133" i="4"/>
  <c r="L133" i="4" s="1"/>
  <c r="M132" i="4"/>
  <c r="N132" i="4" s="1"/>
  <c r="K132" i="4"/>
  <c r="L132" i="4" s="1"/>
  <c r="M131" i="4"/>
  <c r="N131" i="4" s="1"/>
  <c r="K131" i="4"/>
  <c r="L131" i="4" s="1"/>
  <c r="M130" i="4"/>
  <c r="N130" i="4" s="1"/>
  <c r="K130" i="4"/>
  <c r="L130" i="4" s="1"/>
  <c r="M129" i="4"/>
  <c r="N129" i="4" s="1"/>
  <c r="K129" i="4"/>
  <c r="L129" i="4" s="1"/>
  <c r="M128" i="4"/>
  <c r="N128" i="4" s="1"/>
  <c r="K128" i="4"/>
  <c r="L128" i="4" s="1"/>
  <c r="M127" i="4"/>
  <c r="N127" i="4" s="1"/>
  <c r="K127" i="4"/>
  <c r="L127" i="4" s="1"/>
  <c r="M126" i="4"/>
  <c r="N126" i="4" s="1"/>
  <c r="K126" i="4"/>
  <c r="L126" i="4" s="1"/>
  <c r="M125" i="4"/>
  <c r="N125" i="4" s="1"/>
  <c r="K125" i="4"/>
  <c r="L125" i="4" s="1"/>
  <c r="M124" i="4"/>
  <c r="N124" i="4" s="1"/>
  <c r="K124" i="4"/>
  <c r="L124" i="4" s="1"/>
  <c r="M123" i="4"/>
  <c r="N123" i="4" s="1"/>
  <c r="K123" i="4"/>
  <c r="L123" i="4" s="1"/>
  <c r="M122" i="4"/>
  <c r="N122" i="4" s="1"/>
  <c r="K122" i="4"/>
  <c r="L122" i="4" s="1"/>
  <c r="M121" i="4"/>
  <c r="N121" i="4" s="1"/>
  <c r="K121" i="4"/>
  <c r="L121" i="4" s="1"/>
  <c r="M120" i="4"/>
  <c r="N120" i="4" s="1"/>
  <c r="K120" i="4"/>
  <c r="L120" i="4" s="1"/>
  <c r="M119" i="4"/>
  <c r="N119" i="4" s="1"/>
  <c r="K119" i="4"/>
  <c r="L119" i="4" s="1"/>
  <c r="M118" i="4"/>
  <c r="N118" i="4" s="1"/>
  <c r="K118" i="4"/>
  <c r="L118" i="4" s="1"/>
  <c r="M117" i="4"/>
  <c r="N117" i="4" s="1"/>
  <c r="K117" i="4"/>
  <c r="L117" i="4" s="1"/>
  <c r="M116" i="4"/>
  <c r="N116" i="4" s="1"/>
  <c r="K116" i="4"/>
  <c r="L116" i="4" s="1"/>
  <c r="M115" i="4"/>
  <c r="N115" i="4" s="1"/>
  <c r="K115" i="4"/>
  <c r="L115" i="4" s="1"/>
  <c r="M114" i="4"/>
  <c r="N114" i="4" s="1"/>
  <c r="K114" i="4"/>
  <c r="L114" i="4" s="1"/>
  <c r="M113" i="4"/>
  <c r="N113" i="4" s="1"/>
  <c r="K113" i="4"/>
  <c r="L113" i="4" s="1"/>
  <c r="M112" i="4"/>
  <c r="N112" i="4" s="1"/>
  <c r="K112" i="4"/>
  <c r="L112" i="4" s="1"/>
  <c r="M111" i="4"/>
  <c r="N111" i="4" s="1"/>
  <c r="K111" i="4"/>
  <c r="L111" i="4" s="1"/>
  <c r="M110" i="4"/>
  <c r="N110" i="4" s="1"/>
  <c r="K110" i="4"/>
  <c r="L110" i="4" s="1"/>
  <c r="M109" i="4"/>
  <c r="N109" i="4" s="1"/>
  <c r="K109" i="4"/>
  <c r="L109" i="4" s="1"/>
  <c r="M108" i="4"/>
  <c r="N108" i="4" s="1"/>
  <c r="K108" i="4"/>
  <c r="L108" i="4" s="1"/>
  <c r="M107" i="4"/>
  <c r="N107" i="4" s="1"/>
  <c r="K107" i="4"/>
  <c r="L107" i="4" s="1"/>
  <c r="M106" i="4"/>
  <c r="N106" i="4" s="1"/>
  <c r="K106" i="4"/>
  <c r="L106" i="4" s="1"/>
  <c r="M105" i="4"/>
  <c r="N105" i="4" s="1"/>
  <c r="K105" i="4"/>
  <c r="L105" i="4" s="1"/>
  <c r="M104" i="4"/>
  <c r="N104" i="4" s="1"/>
  <c r="K104" i="4"/>
  <c r="L104" i="4" s="1"/>
  <c r="M103" i="4"/>
  <c r="N103" i="4" s="1"/>
  <c r="K103" i="4"/>
  <c r="L103" i="4" s="1"/>
  <c r="M102" i="4"/>
  <c r="N102" i="4" s="1"/>
  <c r="K102" i="4"/>
  <c r="L102" i="4" s="1"/>
  <c r="M101" i="4"/>
  <c r="N101" i="4" s="1"/>
  <c r="K101" i="4"/>
  <c r="L101" i="4" s="1"/>
  <c r="M100" i="4"/>
  <c r="N100" i="4" s="1"/>
  <c r="K100" i="4"/>
  <c r="L100" i="4" s="1"/>
  <c r="M99" i="4"/>
  <c r="N99" i="4" s="1"/>
  <c r="K99" i="4"/>
  <c r="L99" i="4" s="1"/>
  <c r="M98" i="4"/>
  <c r="N98" i="4" s="1"/>
  <c r="K98" i="4"/>
  <c r="L98" i="4" s="1"/>
  <c r="M97" i="4"/>
  <c r="N97" i="4" s="1"/>
  <c r="K97" i="4"/>
  <c r="L97" i="4" s="1"/>
  <c r="M96" i="4"/>
  <c r="N96" i="4" s="1"/>
  <c r="K96" i="4"/>
  <c r="L96" i="4" s="1"/>
  <c r="M95" i="4"/>
  <c r="N95" i="4" s="1"/>
  <c r="K95" i="4"/>
  <c r="L95" i="4" s="1"/>
  <c r="M94" i="4"/>
  <c r="N94" i="4" s="1"/>
  <c r="K94" i="4"/>
  <c r="L94" i="4" s="1"/>
  <c r="M93" i="4"/>
  <c r="N93" i="4" s="1"/>
  <c r="K93" i="4"/>
  <c r="L93" i="4" s="1"/>
  <c r="M92" i="4"/>
  <c r="N92" i="4" s="1"/>
  <c r="K92" i="4"/>
  <c r="L92" i="4" s="1"/>
  <c r="M91" i="4"/>
  <c r="N91" i="4" s="1"/>
  <c r="K91" i="4"/>
  <c r="L91" i="4" s="1"/>
  <c r="M90" i="4"/>
  <c r="N90" i="4" s="1"/>
  <c r="K90" i="4"/>
  <c r="L90" i="4" s="1"/>
  <c r="M89" i="4"/>
  <c r="N89" i="4" s="1"/>
  <c r="K89" i="4"/>
  <c r="L89" i="4" s="1"/>
  <c r="M88" i="4"/>
  <c r="N88" i="4" s="1"/>
  <c r="K88" i="4"/>
  <c r="L88" i="4" s="1"/>
  <c r="M87" i="4"/>
  <c r="N87" i="4" s="1"/>
  <c r="K87" i="4"/>
  <c r="L87" i="4" s="1"/>
  <c r="M86" i="4"/>
  <c r="N86" i="4" s="1"/>
  <c r="K86" i="4"/>
  <c r="L86" i="4" s="1"/>
  <c r="M85" i="4"/>
  <c r="N85" i="4" s="1"/>
  <c r="K85" i="4"/>
  <c r="L85" i="4" s="1"/>
  <c r="M84" i="4"/>
  <c r="N84" i="4" s="1"/>
  <c r="K84" i="4"/>
  <c r="L84" i="4" s="1"/>
  <c r="M83" i="4"/>
  <c r="N83" i="4" s="1"/>
  <c r="K83" i="4"/>
  <c r="L83" i="4" s="1"/>
  <c r="M82" i="4"/>
  <c r="N82" i="4" s="1"/>
  <c r="K82" i="4"/>
  <c r="L82" i="4" s="1"/>
  <c r="M81" i="4"/>
  <c r="N81" i="4" s="1"/>
  <c r="K81" i="4"/>
  <c r="L81" i="4" s="1"/>
  <c r="M80" i="4"/>
  <c r="N80" i="4" s="1"/>
  <c r="K80" i="4"/>
  <c r="L80" i="4" s="1"/>
  <c r="M79" i="4"/>
  <c r="N79" i="4" s="1"/>
  <c r="K79" i="4"/>
  <c r="L79" i="4" s="1"/>
  <c r="M78" i="4"/>
  <c r="N78" i="4" s="1"/>
  <c r="K78" i="4"/>
  <c r="L78" i="4" s="1"/>
  <c r="M77" i="4"/>
  <c r="N77" i="4" s="1"/>
  <c r="K77" i="4"/>
  <c r="L77" i="4" s="1"/>
  <c r="M76" i="4"/>
  <c r="N76" i="4" s="1"/>
  <c r="K76" i="4"/>
  <c r="L76" i="4" s="1"/>
  <c r="M75" i="4"/>
  <c r="N75" i="4" s="1"/>
  <c r="K75" i="4"/>
  <c r="L75" i="4" s="1"/>
  <c r="M74" i="4"/>
  <c r="N74" i="4" s="1"/>
  <c r="K74" i="4"/>
  <c r="L74" i="4" s="1"/>
  <c r="M73" i="4"/>
  <c r="N73" i="4" s="1"/>
  <c r="K73" i="4"/>
  <c r="L73" i="4" s="1"/>
  <c r="M72" i="4"/>
  <c r="N72" i="4" s="1"/>
  <c r="K72" i="4"/>
  <c r="L72" i="4" s="1"/>
  <c r="M71" i="4"/>
  <c r="N71" i="4" s="1"/>
  <c r="K71" i="4"/>
  <c r="L71" i="4" s="1"/>
  <c r="M70" i="4"/>
  <c r="N70" i="4" s="1"/>
  <c r="K70" i="4"/>
  <c r="L70" i="4" s="1"/>
  <c r="M69" i="4"/>
  <c r="N69" i="4" s="1"/>
  <c r="K69" i="4"/>
  <c r="L69" i="4" s="1"/>
  <c r="M68" i="4"/>
  <c r="N68" i="4" s="1"/>
  <c r="K68" i="4"/>
  <c r="L68" i="4" s="1"/>
  <c r="M67" i="4"/>
  <c r="N67" i="4" s="1"/>
  <c r="K67" i="4"/>
  <c r="L67" i="4" s="1"/>
  <c r="M66" i="4"/>
  <c r="N66" i="4" s="1"/>
  <c r="K66" i="4"/>
  <c r="L66" i="4" s="1"/>
  <c r="M65" i="4"/>
  <c r="N65" i="4" s="1"/>
  <c r="K65" i="4"/>
  <c r="L65" i="4" s="1"/>
  <c r="M64" i="4"/>
  <c r="N64" i="4" s="1"/>
  <c r="K64" i="4"/>
  <c r="L64" i="4" s="1"/>
  <c r="M63" i="4"/>
  <c r="N63" i="4" s="1"/>
  <c r="K63" i="4"/>
  <c r="L63" i="4" s="1"/>
  <c r="M62" i="4"/>
  <c r="N62" i="4" s="1"/>
  <c r="K62" i="4"/>
  <c r="L62" i="4" s="1"/>
  <c r="M61" i="4"/>
  <c r="N61" i="4" s="1"/>
  <c r="K61" i="4"/>
  <c r="L61" i="4" s="1"/>
  <c r="M60" i="4"/>
  <c r="N60" i="4" s="1"/>
  <c r="K60" i="4"/>
  <c r="L60" i="4" s="1"/>
  <c r="M59" i="4"/>
  <c r="N59" i="4" s="1"/>
  <c r="K59" i="4"/>
  <c r="L59" i="4" s="1"/>
  <c r="M58" i="4"/>
  <c r="N58" i="4" s="1"/>
  <c r="K58" i="4"/>
  <c r="L58" i="4" s="1"/>
  <c r="M57" i="4"/>
  <c r="N57" i="4" s="1"/>
  <c r="K57" i="4"/>
  <c r="L57" i="4" s="1"/>
  <c r="M56" i="4"/>
  <c r="N56" i="4" s="1"/>
  <c r="K56" i="4"/>
  <c r="L56" i="4" s="1"/>
  <c r="M55" i="4"/>
  <c r="N55" i="4" s="1"/>
  <c r="K55" i="4"/>
  <c r="L55" i="4" s="1"/>
  <c r="M54" i="4"/>
  <c r="N54" i="4" s="1"/>
  <c r="K54" i="4"/>
  <c r="L54" i="4" s="1"/>
  <c r="M53" i="4"/>
  <c r="N53" i="4" s="1"/>
  <c r="K53" i="4"/>
  <c r="L53" i="4" s="1"/>
  <c r="M52" i="4"/>
  <c r="N52" i="4" s="1"/>
  <c r="K52" i="4"/>
  <c r="L52" i="4" s="1"/>
  <c r="M51" i="4"/>
  <c r="N51" i="4" s="1"/>
  <c r="K51" i="4"/>
  <c r="L51" i="4" s="1"/>
  <c r="M50" i="4"/>
  <c r="N50" i="4" s="1"/>
  <c r="K50" i="4"/>
  <c r="L50" i="4" s="1"/>
  <c r="M49" i="4"/>
  <c r="N49" i="4" s="1"/>
  <c r="K49" i="4"/>
  <c r="L49" i="4" s="1"/>
  <c r="M48" i="4"/>
  <c r="N48" i="4" s="1"/>
  <c r="K48" i="4"/>
  <c r="L48" i="4" s="1"/>
  <c r="M47" i="4"/>
  <c r="N47" i="4" s="1"/>
  <c r="K47" i="4"/>
  <c r="L47" i="4" s="1"/>
  <c r="M46" i="4"/>
  <c r="N46" i="4" s="1"/>
  <c r="K46" i="4"/>
  <c r="L46" i="4" s="1"/>
  <c r="M45" i="4"/>
  <c r="N45" i="4" s="1"/>
  <c r="K45" i="4"/>
  <c r="L45" i="4" s="1"/>
  <c r="M44" i="4"/>
  <c r="N44" i="4" s="1"/>
  <c r="K44" i="4"/>
  <c r="L44" i="4" s="1"/>
  <c r="M43" i="4"/>
  <c r="N43" i="4" s="1"/>
  <c r="K43" i="4"/>
  <c r="L43" i="4" s="1"/>
  <c r="M42" i="4"/>
  <c r="N42" i="4" s="1"/>
  <c r="K42" i="4"/>
  <c r="L42" i="4" s="1"/>
  <c r="M41" i="4"/>
  <c r="N41" i="4" s="1"/>
  <c r="K41" i="4"/>
  <c r="L41" i="4" s="1"/>
  <c r="M40" i="4"/>
  <c r="N40" i="4" s="1"/>
  <c r="K40" i="4"/>
  <c r="L40" i="4" s="1"/>
  <c r="M39" i="4"/>
  <c r="N39" i="4" s="1"/>
  <c r="K39" i="4"/>
  <c r="L39" i="4" s="1"/>
  <c r="M38" i="4"/>
  <c r="N38" i="4" s="1"/>
  <c r="K38" i="4"/>
  <c r="L38" i="4" s="1"/>
  <c r="M37" i="4"/>
  <c r="N37" i="4" s="1"/>
  <c r="K37" i="4"/>
  <c r="L37" i="4" s="1"/>
  <c r="M36" i="4"/>
  <c r="N36" i="4" s="1"/>
  <c r="K36" i="4"/>
  <c r="L36" i="4" s="1"/>
  <c r="M35" i="4"/>
  <c r="N35" i="4" s="1"/>
  <c r="K35" i="4"/>
  <c r="L35" i="4" s="1"/>
  <c r="M34" i="4"/>
  <c r="N34" i="4" s="1"/>
  <c r="K34" i="4"/>
  <c r="L34" i="4" s="1"/>
  <c r="M33" i="4"/>
  <c r="N33" i="4" s="1"/>
  <c r="K33" i="4"/>
  <c r="L33" i="4" s="1"/>
  <c r="M32" i="4"/>
  <c r="N32" i="4" s="1"/>
  <c r="K32" i="4"/>
  <c r="L32" i="4" s="1"/>
  <c r="M31" i="4"/>
  <c r="N31" i="4" s="1"/>
  <c r="K31" i="4"/>
  <c r="L31" i="4" s="1"/>
  <c r="M30" i="4"/>
  <c r="N30" i="4" s="1"/>
  <c r="K30" i="4"/>
  <c r="L30" i="4" s="1"/>
  <c r="M29" i="4"/>
  <c r="N29" i="4" s="1"/>
  <c r="K29" i="4"/>
  <c r="L29" i="4" s="1"/>
  <c r="M28" i="4"/>
  <c r="N28" i="4" s="1"/>
  <c r="K28" i="4"/>
  <c r="L28" i="4" s="1"/>
  <c r="M27" i="4"/>
  <c r="N27" i="4" s="1"/>
  <c r="K27" i="4"/>
  <c r="L27" i="4" s="1"/>
  <c r="M26" i="4"/>
  <c r="N26" i="4" s="1"/>
  <c r="K26" i="4"/>
  <c r="L26" i="4" s="1"/>
  <c r="M25" i="4"/>
  <c r="N25" i="4" s="1"/>
  <c r="K25" i="4"/>
  <c r="L25" i="4" s="1"/>
  <c r="M24" i="4"/>
  <c r="N24" i="4" s="1"/>
  <c r="K24" i="4"/>
  <c r="L24" i="4" s="1"/>
  <c r="M23" i="4"/>
  <c r="N23" i="4" s="1"/>
  <c r="K23" i="4"/>
  <c r="L23" i="4" s="1"/>
  <c r="M22" i="4"/>
  <c r="N22" i="4" s="1"/>
  <c r="K22" i="4"/>
  <c r="L22" i="4" s="1"/>
  <c r="M21" i="4"/>
  <c r="N21" i="4" s="1"/>
  <c r="K21" i="4"/>
  <c r="L21" i="4" s="1"/>
  <c r="M20" i="4"/>
  <c r="N20" i="4" s="1"/>
  <c r="K20" i="4"/>
  <c r="L20" i="4" s="1"/>
  <c r="M19" i="4"/>
  <c r="N19" i="4" s="1"/>
  <c r="K19" i="4"/>
  <c r="L19" i="4" s="1"/>
  <c r="M18" i="4"/>
  <c r="N18" i="4" s="1"/>
  <c r="K18" i="4"/>
  <c r="L18" i="4" s="1"/>
  <c r="M17" i="4"/>
  <c r="N17" i="4" s="1"/>
  <c r="K17" i="4"/>
  <c r="L17" i="4" s="1"/>
  <c r="M16" i="4"/>
  <c r="N16" i="4" s="1"/>
  <c r="K16" i="4"/>
  <c r="L16" i="4" s="1"/>
  <c r="M15" i="4"/>
  <c r="N15" i="4" s="1"/>
  <c r="K15" i="4"/>
  <c r="L15" i="4" s="1"/>
  <c r="M14" i="4"/>
  <c r="N14" i="4" s="1"/>
  <c r="K14" i="4"/>
  <c r="L14" i="4" s="1"/>
  <c r="M13" i="4"/>
  <c r="N13" i="4" s="1"/>
  <c r="K13" i="4"/>
  <c r="L13" i="4" s="1"/>
  <c r="M12" i="4"/>
  <c r="N12" i="4" s="1"/>
  <c r="K12" i="4"/>
  <c r="L12" i="4" s="1"/>
  <c r="M11" i="4"/>
  <c r="N11" i="4" s="1"/>
  <c r="K11" i="4"/>
  <c r="L11" i="4" s="1"/>
  <c r="M10" i="4"/>
  <c r="N10" i="4" s="1"/>
  <c r="K10" i="4"/>
  <c r="L10" i="4" s="1"/>
  <c r="M9" i="4"/>
  <c r="N9" i="4" s="1"/>
  <c r="K9" i="4"/>
  <c r="L9" i="4" s="1"/>
  <c r="M8" i="4"/>
  <c r="N8" i="4" s="1"/>
  <c r="K8" i="4"/>
  <c r="L8" i="4" s="1"/>
  <c r="M7" i="4"/>
  <c r="N7" i="4" s="1"/>
  <c r="K7" i="4"/>
  <c r="L7" i="4" s="1"/>
  <c r="M6" i="4"/>
  <c r="N6" i="4" s="1"/>
  <c r="K6" i="4"/>
  <c r="L6" i="4" s="1"/>
  <c r="M5" i="4"/>
  <c r="N5" i="4" s="1"/>
  <c r="K5" i="4"/>
  <c r="L5" i="4" s="1"/>
  <c r="M4" i="4"/>
  <c r="N4" i="4" s="1"/>
  <c r="K4" i="4"/>
  <c r="L4" i="4" s="1"/>
  <c r="B4" i="9"/>
  <c r="B4" i="10"/>
  <c r="B7" i="10" s="1"/>
  <c r="B9" i="10"/>
  <c r="B10" i="10" s="1"/>
  <c r="B4" i="12"/>
  <c r="B5" i="12"/>
  <c r="B6" i="12"/>
  <c r="B33" i="2"/>
  <c r="B36" i="2"/>
  <c r="B35" i="2"/>
  <c r="B34" i="2"/>
  <c r="B44" i="2"/>
  <c r="B43" i="2"/>
  <c r="B42" i="2"/>
  <c r="G29" i="5" l="1"/>
  <c r="H29" i="5" s="1"/>
  <c r="G26" i="5"/>
  <c r="H26" i="5" s="1"/>
  <c r="I28" i="5"/>
  <c r="I30" i="5"/>
  <c r="I27" i="5"/>
  <c r="B10" i="3"/>
  <c r="B11" i="3" s="1"/>
  <c r="E12" i="5"/>
  <c r="C12" i="5"/>
  <c r="E10" i="5"/>
  <c r="A13" i="5"/>
  <c r="B11" i="5"/>
  <c r="A14" i="5"/>
  <c r="E13" i="5"/>
  <c r="B12" i="5"/>
  <c r="D10" i="5"/>
  <c r="D12" i="5"/>
  <c r="D13" i="5"/>
  <c r="A12" i="5"/>
  <c r="C10" i="5"/>
  <c r="B14" i="5"/>
  <c r="C13" i="5"/>
  <c r="E11" i="5"/>
  <c r="B10" i="5"/>
  <c r="C11" i="5"/>
  <c r="C14" i="5"/>
  <c r="A11" i="5"/>
  <c r="B13" i="5"/>
  <c r="D11" i="5"/>
  <c r="E14" i="5"/>
  <c r="D14" i="5"/>
  <c r="E5" i="5"/>
  <c r="E4" i="5"/>
  <c r="D20" i="5"/>
  <c r="C19" i="5"/>
  <c r="A19" i="5"/>
  <c r="B18" i="5"/>
  <c r="D9" i="5"/>
  <c r="A16" i="5"/>
  <c r="D18" i="5"/>
  <c r="C17" i="5"/>
  <c r="A9" i="5"/>
  <c r="E20" i="5"/>
  <c r="D19" i="5"/>
  <c r="B17" i="5"/>
  <c r="E6" i="5"/>
  <c r="D5" i="5"/>
  <c r="D4" i="5"/>
  <c r="C20" i="5"/>
  <c r="A20" i="5"/>
  <c r="B19" i="5"/>
  <c r="B20" i="5"/>
  <c r="E8" i="5"/>
  <c r="D7" i="5"/>
  <c r="C6" i="5"/>
  <c r="A6" i="5"/>
  <c r="E9" i="5"/>
  <c r="E17" i="5"/>
  <c r="D16" i="5"/>
  <c r="C7" i="5"/>
  <c r="B6" i="5"/>
  <c r="D17" i="5"/>
  <c r="B7" i="5"/>
  <c r="E7" i="5"/>
  <c r="E15" i="5"/>
  <c r="D6" i="5"/>
  <c r="C5" i="5"/>
  <c r="C4" i="5"/>
  <c r="A5" i="5"/>
  <c r="E16" i="5"/>
  <c r="D15" i="5"/>
  <c r="B5" i="5"/>
  <c r="D8" i="5"/>
  <c r="C15" i="5"/>
  <c r="A7" i="5"/>
  <c r="E18" i="5"/>
  <c r="C8" i="5"/>
  <c r="A8" i="5"/>
  <c r="B15" i="5"/>
  <c r="E19" i="5"/>
  <c r="B16" i="5"/>
  <c r="C18" i="5"/>
  <c r="B9" i="5"/>
  <c r="A18" i="5"/>
  <c r="B4" i="5"/>
  <c r="A15" i="5"/>
  <c r="C16" i="5"/>
  <c r="C9" i="5"/>
  <c r="B8" i="5"/>
  <c r="A17" i="5"/>
  <c r="A4" i="5"/>
  <c r="I25" i="5"/>
  <c r="I24" i="5"/>
  <c r="J64" i="21"/>
  <c r="G86" i="21"/>
  <c r="G54" i="21"/>
  <c r="H84" i="21"/>
  <c r="H70" i="21"/>
  <c r="G98" i="21"/>
  <c r="H46" i="21"/>
  <c r="G87" i="21"/>
  <c r="H14" i="21"/>
  <c r="J63" i="21"/>
  <c r="G50" i="21"/>
  <c r="S76" i="21"/>
  <c r="H86" i="21"/>
  <c r="G39" i="21"/>
  <c r="J62" i="21"/>
  <c r="H99" i="21"/>
  <c r="H35" i="21"/>
  <c r="G82" i="21"/>
  <c r="G38" i="21"/>
  <c r="H83" i="21"/>
  <c r="I67" i="21"/>
  <c r="J30" i="21"/>
  <c r="G71" i="21"/>
  <c r="G34" i="21"/>
  <c r="I66" i="21"/>
  <c r="G70" i="21"/>
  <c r="G22" i="21"/>
  <c r="H67" i="21"/>
  <c r="I54" i="21"/>
  <c r="G103" i="21"/>
  <c r="G66" i="21"/>
  <c r="H102" i="21"/>
  <c r="H66" i="21"/>
  <c r="L8" i="21"/>
  <c r="G102" i="21"/>
  <c r="G55" i="21"/>
  <c r="H100" i="21"/>
  <c r="H47" i="21"/>
  <c r="I11" i="21"/>
  <c r="S92" i="21"/>
  <c r="H5" i="21"/>
  <c r="I5" i="21"/>
  <c r="G16" i="21"/>
  <c r="J15" i="21"/>
  <c r="G96" i="21"/>
  <c r="G80" i="21"/>
  <c r="G64" i="21"/>
  <c r="G48" i="21"/>
  <c r="G32" i="21"/>
  <c r="G14" i="21"/>
  <c r="H32" i="21"/>
  <c r="I102" i="21"/>
  <c r="I42" i="21"/>
  <c r="J95" i="21"/>
  <c r="J48" i="21"/>
  <c r="J14" i="21"/>
  <c r="L88" i="21"/>
  <c r="E87" i="21"/>
  <c r="G95" i="21"/>
  <c r="G79" i="21"/>
  <c r="G63" i="21"/>
  <c r="G47" i="21"/>
  <c r="G31" i="21"/>
  <c r="G8" i="21"/>
  <c r="H94" i="21"/>
  <c r="H78" i="21"/>
  <c r="H64" i="21"/>
  <c r="H26" i="21"/>
  <c r="I92" i="21"/>
  <c r="I39" i="21"/>
  <c r="J94" i="21"/>
  <c r="J47" i="21"/>
  <c r="L72" i="21"/>
  <c r="J16" i="21"/>
  <c r="I103" i="21"/>
  <c r="L104" i="21"/>
  <c r="E62" i="21"/>
  <c r="G94" i="21"/>
  <c r="G78" i="21"/>
  <c r="G62" i="21"/>
  <c r="G46" i="21"/>
  <c r="G30" i="21"/>
  <c r="G7" i="21"/>
  <c r="H58" i="21"/>
  <c r="H24" i="21"/>
  <c r="I91" i="21"/>
  <c r="I38" i="21"/>
  <c r="J80" i="21"/>
  <c r="J46" i="21"/>
  <c r="L56" i="21"/>
  <c r="S28" i="21"/>
  <c r="G15" i="21"/>
  <c r="J96" i="21"/>
  <c r="E48" i="21"/>
  <c r="G90" i="21"/>
  <c r="G74" i="21"/>
  <c r="G58" i="21"/>
  <c r="G42" i="21"/>
  <c r="G24" i="21"/>
  <c r="G6" i="21"/>
  <c r="H91" i="21"/>
  <c r="H75" i="21"/>
  <c r="H56" i="21"/>
  <c r="H22" i="21"/>
  <c r="I79" i="21"/>
  <c r="J79" i="21"/>
  <c r="J32" i="21"/>
  <c r="L40" i="21"/>
  <c r="S11" i="21"/>
  <c r="G104" i="21"/>
  <c r="G88" i="21"/>
  <c r="G72" i="21"/>
  <c r="G56" i="21"/>
  <c r="G40" i="21"/>
  <c r="G23" i="21"/>
  <c r="H54" i="21"/>
  <c r="H15" i="21"/>
  <c r="I78" i="21"/>
  <c r="I27" i="21"/>
  <c r="J78" i="21"/>
  <c r="J31" i="21"/>
  <c r="L24" i="21"/>
  <c r="L101" i="21"/>
  <c r="J101" i="21"/>
  <c r="S101" i="21"/>
  <c r="K101" i="21"/>
  <c r="I101" i="21"/>
  <c r="H101" i="21"/>
  <c r="G101" i="21"/>
  <c r="L93" i="21"/>
  <c r="J93" i="21"/>
  <c r="S93" i="21"/>
  <c r="K93" i="21"/>
  <c r="I93" i="21"/>
  <c r="H93" i="21"/>
  <c r="G93" i="21"/>
  <c r="L85" i="21"/>
  <c r="J85" i="21"/>
  <c r="S85" i="21"/>
  <c r="K85" i="21"/>
  <c r="I85" i="21"/>
  <c r="H85" i="21"/>
  <c r="G85" i="21"/>
  <c r="L77" i="21"/>
  <c r="J77" i="21"/>
  <c r="S77" i="21"/>
  <c r="K77" i="21"/>
  <c r="I77" i="21"/>
  <c r="H77" i="21"/>
  <c r="G77" i="21"/>
  <c r="L69" i="21"/>
  <c r="J69" i="21"/>
  <c r="S69" i="21"/>
  <c r="K69" i="21"/>
  <c r="I69" i="21"/>
  <c r="H69" i="21"/>
  <c r="G69" i="21"/>
  <c r="L61" i="21"/>
  <c r="J61" i="21"/>
  <c r="S61" i="21"/>
  <c r="K61" i="21"/>
  <c r="I61" i="21"/>
  <c r="H61" i="21"/>
  <c r="G61" i="21"/>
  <c r="E61" i="21"/>
  <c r="L53" i="21"/>
  <c r="J53" i="21"/>
  <c r="S53" i="21"/>
  <c r="K53" i="21"/>
  <c r="I53" i="21"/>
  <c r="H53" i="21"/>
  <c r="G53" i="21"/>
  <c r="L45" i="21"/>
  <c r="J45" i="21"/>
  <c r="S45" i="21"/>
  <c r="K45" i="21"/>
  <c r="I45" i="21"/>
  <c r="E45" i="21"/>
  <c r="G45" i="21"/>
  <c r="H45" i="21"/>
  <c r="L37" i="21"/>
  <c r="J37" i="21"/>
  <c r="S37" i="21"/>
  <c r="K37" i="21"/>
  <c r="I37" i="21"/>
  <c r="G37" i="21"/>
  <c r="L29" i="21"/>
  <c r="J29" i="21"/>
  <c r="S29" i="21"/>
  <c r="K29" i="21"/>
  <c r="I29" i="21"/>
  <c r="H29" i="21"/>
  <c r="G29" i="21"/>
  <c r="L21" i="21"/>
  <c r="J21" i="21"/>
  <c r="S21" i="21"/>
  <c r="K21" i="21"/>
  <c r="I21" i="21"/>
  <c r="E21" i="21"/>
  <c r="H21" i="21"/>
  <c r="G21" i="21"/>
  <c r="L13" i="21"/>
  <c r="J13" i="21"/>
  <c r="S13" i="21"/>
  <c r="K13" i="21"/>
  <c r="I13" i="21"/>
  <c r="G13" i="21"/>
  <c r="H13" i="21"/>
  <c r="H37" i="21"/>
  <c r="L100" i="21"/>
  <c r="J100" i="21"/>
  <c r="L92" i="21"/>
  <c r="J92" i="21"/>
  <c r="L84" i="21"/>
  <c r="J84" i="21"/>
  <c r="L76" i="21"/>
  <c r="J76" i="21"/>
  <c r="L68" i="21"/>
  <c r="J68" i="21"/>
  <c r="H68" i="21"/>
  <c r="L60" i="21"/>
  <c r="J60" i="21"/>
  <c r="H60" i="21"/>
  <c r="L52" i="21"/>
  <c r="J52" i="21"/>
  <c r="H52" i="21"/>
  <c r="L44" i="21"/>
  <c r="J44" i="21"/>
  <c r="H44" i="21"/>
  <c r="L36" i="21"/>
  <c r="J36" i="21"/>
  <c r="H36" i="21"/>
  <c r="L28" i="21"/>
  <c r="J28" i="21"/>
  <c r="H28" i="21"/>
  <c r="L20" i="21"/>
  <c r="J20" i="21"/>
  <c r="H20" i="21"/>
  <c r="L12" i="21"/>
  <c r="J12" i="21"/>
  <c r="H12" i="21"/>
  <c r="I52" i="21"/>
  <c r="K99" i="21"/>
  <c r="K83" i="21"/>
  <c r="K67" i="21"/>
  <c r="K51" i="21"/>
  <c r="K35" i="21"/>
  <c r="K19" i="21"/>
  <c r="L103" i="21"/>
  <c r="L87" i="21"/>
  <c r="L71" i="21"/>
  <c r="L55" i="21"/>
  <c r="L39" i="21"/>
  <c r="L23" i="21"/>
  <c r="L7" i="21"/>
  <c r="S91" i="21"/>
  <c r="S75" i="21"/>
  <c r="S59" i="21"/>
  <c r="S43" i="21"/>
  <c r="S27" i="21"/>
  <c r="S10" i="21"/>
  <c r="H98" i="21"/>
  <c r="H90" i="21"/>
  <c r="H82" i="21"/>
  <c r="H74" i="21"/>
  <c r="H55" i="21"/>
  <c r="H34" i="21"/>
  <c r="H23" i="21"/>
  <c r="I90" i="21"/>
  <c r="I76" i="21"/>
  <c r="I63" i="21"/>
  <c r="I51" i="21"/>
  <c r="I26" i="21"/>
  <c r="L102" i="21"/>
  <c r="L86" i="21"/>
  <c r="L70" i="21"/>
  <c r="L54" i="21"/>
  <c r="L38" i="21"/>
  <c r="L22" i="21"/>
  <c r="L6" i="21"/>
  <c r="L98" i="21"/>
  <c r="J98" i="21"/>
  <c r="L90" i="21"/>
  <c r="J90" i="21"/>
  <c r="L82" i="21"/>
  <c r="J82" i="21"/>
  <c r="L74" i="21"/>
  <c r="J74" i="21"/>
  <c r="L66" i="21"/>
  <c r="J66" i="21"/>
  <c r="L58" i="21"/>
  <c r="J58" i="21"/>
  <c r="L50" i="21"/>
  <c r="J50" i="21"/>
  <c r="L42" i="21"/>
  <c r="J42" i="21"/>
  <c r="L34" i="21"/>
  <c r="J34" i="21"/>
  <c r="L26" i="21"/>
  <c r="J26" i="21"/>
  <c r="L18" i="21"/>
  <c r="J18" i="21"/>
  <c r="L10" i="21"/>
  <c r="J10" i="21"/>
  <c r="H43" i="21"/>
  <c r="H11" i="21"/>
  <c r="I100" i="21"/>
  <c r="I87" i="21"/>
  <c r="I75" i="21"/>
  <c r="I62" i="21"/>
  <c r="I50" i="21"/>
  <c r="I36" i="21"/>
  <c r="I23" i="21"/>
  <c r="I7" i="21"/>
  <c r="J91" i="21"/>
  <c r="J75" i="21"/>
  <c r="J59" i="21"/>
  <c r="J43" i="21"/>
  <c r="J27" i="21"/>
  <c r="J11" i="21"/>
  <c r="K95" i="21"/>
  <c r="K79" i="21"/>
  <c r="K63" i="21"/>
  <c r="K47" i="21"/>
  <c r="K31" i="21"/>
  <c r="K15" i="21"/>
  <c r="L99" i="21"/>
  <c r="L83" i="21"/>
  <c r="L67" i="21"/>
  <c r="L51" i="21"/>
  <c r="L35" i="21"/>
  <c r="L19" i="21"/>
  <c r="S103" i="21"/>
  <c r="S87" i="21"/>
  <c r="S71" i="21"/>
  <c r="S55" i="21"/>
  <c r="S39" i="21"/>
  <c r="S23" i="21"/>
  <c r="S5" i="21"/>
  <c r="K5" i="21"/>
  <c r="L5" i="21"/>
  <c r="J5" i="21"/>
  <c r="S97" i="21"/>
  <c r="K97" i="21"/>
  <c r="I97" i="21"/>
  <c r="L97" i="21"/>
  <c r="J97" i="21"/>
  <c r="S89" i="21"/>
  <c r="K89" i="21"/>
  <c r="I89" i="21"/>
  <c r="L89" i="21"/>
  <c r="J89" i="21"/>
  <c r="S81" i="21"/>
  <c r="K81" i="21"/>
  <c r="I81" i="21"/>
  <c r="L81" i="21"/>
  <c r="J81" i="21"/>
  <c r="S73" i="21"/>
  <c r="K73" i="21"/>
  <c r="I73" i="21"/>
  <c r="L73" i="21"/>
  <c r="J73" i="21"/>
  <c r="S65" i="21"/>
  <c r="K65" i="21"/>
  <c r="I65" i="21"/>
  <c r="L65" i="21"/>
  <c r="J65" i="21"/>
  <c r="S57" i="21"/>
  <c r="K57" i="21"/>
  <c r="I57" i="21"/>
  <c r="L57" i="21"/>
  <c r="J57" i="21"/>
  <c r="H57" i="21"/>
  <c r="S49" i="21"/>
  <c r="K49" i="21"/>
  <c r="I49" i="21"/>
  <c r="L49" i="21"/>
  <c r="J49" i="21"/>
  <c r="H49" i="21"/>
  <c r="S41" i="21"/>
  <c r="K41" i="21"/>
  <c r="I41" i="21"/>
  <c r="L41" i="21"/>
  <c r="J41" i="21"/>
  <c r="H41" i="21"/>
  <c r="S33" i="21"/>
  <c r="K33" i="21"/>
  <c r="I33" i="21"/>
  <c r="L33" i="21"/>
  <c r="J33" i="21"/>
  <c r="H33" i="21"/>
  <c r="S25" i="21"/>
  <c r="K25" i="21"/>
  <c r="I25" i="21"/>
  <c r="L25" i="21"/>
  <c r="J25" i="21"/>
  <c r="H25" i="21"/>
  <c r="S17" i="21"/>
  <c r="K17" i="21"/>
  <c r="I17" i="21"/>
  <c r="L17" i="21"/>
  <c r="J17" i="21"/>
  <c r="H17" i="21"/>
  <c r="S9" i="21"/>
  <c r="K9" i="21"/>
  <c r="I9" i="21"/>
  <c r="L9" i="21"/>
  <c r="J9" i="21"/>
  <c r="H9" i="21"/>
  <c r="G100" i="21"/>
  <c r="G92" i="21"/>
  <c r="G84" i="21"/>
  <c r="G76" i="21"/>
  <c r="G68" i="21"/>
  <c r="G60" i="21"/>
  <c r="G52" i="21"/>
  <c r="G44" i="21"/>
  <c r="G36" i="21"/>
  <c r="G28" i="21"/>
  <c r="G20" i="21"/>
  <c r="G12" i="21"/>
  <c r="H104" i="21"/>
  <c r="H96" i="21"/>
  <c r="H88" i="21"/>
  <c r="H80" i="21"/>
  <c r="H72" i="21"/>
  <c r="H63" i="21"/>
  <c r="H42" i="21"/>
  <c r="H31" i="21"/>
  <c r="H10" i="21"/>
  <c r="I99" i="21"/>
  <c r="I86" i="21"/>
  <c r="I74" i="21"/>
  <c r="I60" i="21"/>
  <c r="I47" i="21"/>
  <c r="I35" i="21"/>
  <c r="I20" i="21"/>
  <c r="K92" i="21"/>
  <c r="K76" i="21"/>
  <c r="K60" i="21"/>
  <c r="K44" i="21"/>
  <c r="K28" i="21"/>
  <c r="K12" i="21"/>
  <c r="S100" i="21"/>
  <c r="S84" i="21"/>
  <c r="S68" i="21"/>
  <c r="S52" i="21"/>
  <c r="S36" i="21"/>
  <c r="S20" i="21"/>
  <c r="D104" i="21"/>
  <c r="S104" i="21"/>
  <c r="K104" i="21"/>
  <c r="I104" i="21"/>
  <c r="D96" i="21"/>
  <c r="S96" i="21"/>
  <c r="K96" i="21"/>
  <c r="I96" i="21"/>
  <c r="D88" i="21"/>
  <c r="S88" i="21"/>
  <c r="K88" i="21"/>
  <c r="I88" i="21"/>
  <c r="D80" i="21"/>
  <c r="S80" i="21"/>
  <c r="K80" i="21"/>
  <c r="I80" i="21"/>
  <c r="D72" i="21"/>
  <c r="S72" i="21"/>
  <c r="K72" i="21"/>
  <c r="I72" i="21"/>
  <c r="D64" i="21"/>
  <c r="S64" i="21"/>
  <c r="K64" i="21"/>
  <c r="I64" i="21"/>
  <c r="D56" i="21"/>
  <c r="S56" i="21"/>
  <c r="K56" i="21"/>
  <c r="I56" i="21"/>
  <c r="D48" i="21"/>
  <c r="S48" i="21"/>
  <c r="K48" i="21"/>
  <c r="I48" i="21"/>
  <c r="D40" i="21"/>
  <c r="S40" i="21"/>
  <c r="K40" i="21"/>
  <c r="I40" i="21"/>
  <c r="D32" i="21"/>
  <c r="S32" i="21"/>
  <c r="K32" i="21"/>
  <c r="I32" i="21"/>
  <c r="D24" i="21"/>
  <c r="S24" i="21"/>
  <c r="K24" i="21"/>
  <c r="I24" i="21"/>
  <c r="D16" i="21"/>
  <c r="S16" i="21"/>
  <c r="K16" i="21"/>
  <c r="I16" i="21"/>
  <c r="D8" i="21"/>
  <c r="S8" i="21"/>
  <c r="K8" i="21"/>
  <c r="I8" i="21"/>
  <c r="E22" i="21"/>
  <c r="G99" i="21"/>
  <c r="G91" i="21"/>
  <c r="G83" i="21"/>
  <c r="G75" i="21"/>
  <c r="G67" i="21"/>
  <c r="G59" i="21"/>
  <c r="G51" i="21"/>
  <c r="G43" i="21"/>
  <c r="G35" i="21"/>
  <c r="G27" i="21"/>
  <c r="G19" i="21"/>
  <c r="G11" i="21"/>
  <c r="H103" i="21"/>
  <c r="H95" i="21"/>
  <c r="H87" i="21"/>
  <c r="H79" i="21"/>
  <c r="H71" i="21"/>
  <c r="H62" i="21"/>
  <c r="H51" i="21"/>
  <c r="H40" i="21"/>
  <c r="H30" i="21"/>
  <c r="H19" i="21"/>
  <c r="H8" i="21"/>
  <c r="I98" i="21"/>
  <c r="I84" i="21"/>
  <c r="I71" i="21"/>
  <c r="I59" i="21"/>
  <c r="I46" i="21"/>
  <c r="I34" i="21"/>
  <c r="I19" i="21"/>
  <c r="J103" i="21"/>
  <c r="J87" i="21"/>
  <c r="J71" i="21"/>
  <c r="J55" i="21"/>
  <c r="J39" i="21"/>
  <c r="J23" i="21"/>
  <c r="J7" i="21"/>
  <c r="K91" i="21"/>
  <c r="K75" i="21"/>
  <c r="K59" i="21"/>
  <c r="K43" i="21"/>
  <c r="K27" i="21"/>
  <c r="K11" i="21"/>
  <c r="L95" i="21"/>
  <c r="L79" i="21"/>
  <c r="L63" i="21"/>
  <c r="L47" i="21"/>
  <c r="L31" i="21"/>
  <c r="L15" i="21"/>
  <c r="S99" i="21"/>
  <c r="S83" i="21"/>
  <c r="S67" i="21"/>
  <c r="S51" i="21"/>
  <c r="S35" i="21"/>
  <c r="S19" i="21"/>
  <c r="G26" i="21"/>
  <c r="G18" i="21"/>
  <c r="G10" i="21"/>
  <c r="H50" i="21"/>
  <c r="H39" i="21"/>
  <c r="H18" i="21"/>
  <c r="H7" i="21"/>
  <c r="I95" i="21"/>
  <c r="I83" i="21"/>
  <c r="I70" i="21"/>
  <c r="I58" i="21"/>
  <c r="I44" i="21"/>
  <c r="I31" i="21"/>
  <c r="I18" i="21"/>
  <c r="K90" i="21"/>
  <c r="K74" i="21"/>
  <c r="K58" i="21"/>
  <c r="K42" i="21"/>
  <c r="K26" i="21"/>
  <c r="K10" i="21"/>
  <c r="S98" i="21"/>
  <c r="S82" i="21"/>
  <c r="S66" i="21"/>
  <c r="S50" i="21"/>
  <c r="S34" i="21"/>
  <c r="S18" i="21"/>
  <c r="S102" i="21"/>
  <c r="K102" i="21"/>
  <c r="S94" i="21"/>
  <c r="K94" i="21"/>
  <c r="S86" i="21"/>
  <c r="K86" i="21"/>
  <c r="S78" i="21"/>
  <c r="K78" i="21"/>
  <c r="S70" i="21"/>
  <c r="K70" i="21"/>
  <c r="S62" i="21"/>
  <c r="K62" i="21"/>
  <c r="S54" i="21"/>
  <c r="K54" i="21"/>
  <c r="S46" i="21"/>
  <c r="K46" i="21"/>
  <c r="S38" i="21"/>
  <c r="K38" i="21"/>
  <c r="S30" i="21"/>
  <c r="K30" i="21"/>
  <c r="S22" i="21"/>
  <c r="K22" i="21"/>
  <c r="I22" i="21"/>
  <c r="S14" i="21"/>
  <c r="K14" i="21"/>
  <c r="I14" i="21"/>
  <c r="S6" i="21"/>
  <c r="K6" i="21"/>
  <c r="I6" i="21"/>
  <c r="G5" i="21"/>
  <c r="G97" i="21"/>
  <c r="G89" i="21"/>
  <c r="G81" i="21"/>
  <c r="G73" i="21"/>
  <c r="G65" i="21"/>
  <c r="G57" i="21"/>
  <c r="G49" i="21"/>
  <c r="G41" i="21"/>
  <c r="G33" i="21"/>
  <c r="G25" i="21"/>
  <c r="G17" i="21"/>
  <c r="G9" i="21"/>
  <c r="H59" i="21"/>
  <c r="H48" i="21"/>
  <c r="H38" i="21"/>
  <c r="H27" i="21"/>
  <c r="H16" i="21"/>
  <c r="H6" i="21"/>
  <c r="I94" i="21"/>
  <c r="I82" i="21"/>
  <c r="I68" i="21"/>
  <c r="I55" i="21"/>
  <c r="I43" i="21"/>
  <c r="I30" i="21"/>
  <c r="I15" i="21"/>
  <c r="K7" i="21"/>
  <c r="S12" i="21"/>
  <c r="D79" i="21"/>
  <c r="D15" i="21"/>
  <c r="D5" i="21"/>
  <c r="D65" i="21"/>
  <c r="D57" i="21"/>
  <c r="D25" i="21"/>
  <c r="D87" i="21"/>
  <c r="D63" i="21"/>
  <c r="D7" i="21"/>
  <c r="D55" i="21"/>
  <c r="D39" i="21"/>
  <c r="D23" i="21"/>
  <c r="D94" i="21"/>
  <c r="D86" i="21"/>
  <c r="D70" i="21"/>
  <c r="D62" i="21"/>
  <c r="D38" i="21"/>
  <c r="D30" i="21"/>
  <c r="D22" i="21"/>
  <c r="D6" i="21"/>
  <c r="E47" i="21"/>
  <c r="E101" i="21"/>
  <c r="E46" i="21"/>
  <c r="D52" i="21"/>
  <c r="D95" i="21"/>
  <c r="D47" i="21"/>
  <c r="D36" i="21"/>
  <c r="D83" i="21"/>
  <c r="E59" i="21"/>
  <c r="E86" i="21"/>
  <c r="E37" i="21"/>
  <c r="B8" i="23"/>
  <c r="D98" i="21"/>
  <c r="D90" i="21"/>
  <c r="D82" i="21"/>
  <c r="D74" i="21"/>
  <c r="D66" i="21"/>
  <c r="D58" i="21"/>
  <c r="D50" i="21"/>
  <c r="D42" i="21"/>
  <c r="D34" i="21"/>
  <c r="D26" i="21"/>
  <c r="D18" i="21"/>
  <c r="D10" i="21"/>
  <c r="E85" i="21"/>
  <c r="E23" i="21"/>
  <c r="D28" i="21"/>
  <c r="D51" i="21"/>
  <c r="E73" i="21"/>
  <c r="E9" i="21"/>
  <c r="E97" i="21"/>
  <c r="E8" i="21"/>
  <c r="E96" i="21"/>
  <c r="E32" i="21"/>
  <c r="E70" i="21"/>
  <c r="E31" i="21"/>
  <c r="E80" i="21"/>
  <c r="E104" i="21"/>
  <c r="E93" i="21"/>
  <c r="E65" i="21"/>
  <c r="E54" i="21"/>
  <c r="E40" i="21"/>
  <c r="E29" i="21"/>
  <c r="E15" i="21"/>
  <c r="E33" i="21"/>
  <c r="E71" i="21"/>
  <c r="E95" i="21"/>
  <c r="E56" i="21"/>
  <c r="E17" i="21"/>
  <c r="E94" i="21"/>
  <c r="E55" i="21"/>
  <c r="E30" i="21"/>
  <c r="E16" i="21"/>
  <c r="E79" i="21"/>
  <c r="E103" i="21"/>
  <c r="E89" i="21"/>
  <c r="E78" i="21"/>
  <c r="E64" i="21"/>
  <c r="E53" i="21"/>
  <c r="E39" i="21"/>
  <c r="E25" i="21"/>
  <c r="E14" i="21"/>
  <c r="E72" i="21"/>
  <c r="E57" i="21"/>
  <c r="E7" i="21"/>
  <c r="E81" i="21"/>
  <c r="E6" i="21"/>
  <c r="E5" i="21"/>
  <c r="E69" i="21"/>
  <c r="E41" i="21"/>
  <c r="E102" i="21"/>
  <c r="E88" i="21"/>
  <c r="E77" i="21"/>
  <c r="E63" i="21"/>
  <c r="E49" i="21"/>
  <c r="E38" i="21"/>
  <c r="E24" i="21"/>
  <c r="E13" i="21"/>
  <c r="E100" i="21"/>
  <c r="E92" i="21"/>
  <c r="E84" i="21"/>
  <c r="E76" i="21"/>
  <c r="E68" i="21"/>
  <c r="E60" i="21"/>
  <c r="E52" i="21"/>
  <c r="E44" i="21"/>
  <c r="E36" i="21"/>
  <c r="E28" i="21"/>
  <c r="E20" i="21"/>
  <c r="E12" i="21"/>
  <c r="E99" i="21"/>
  <c r="E91" i="21"/>
  <c r="E83" i="21"/>
  <c r="E75" i="21"/>
  <c r="E67" i="21"/>
  <c r="E51" i="21"/>
  <c r="E43" i="21"/>
  <c r="E35" i="21"/>
  <c r="E27" i="21"/>
  <c r="E19" i="21"/>
  <c r="E11" i="21"/>
  <c r="E98" i="21"/>
  <c r="E90" i="21"/>
  <c r="E82" i="21"/>
  <c r="E74" i="21"/>
  <c r="E66" i="21"/>
  <c r="E58" i="21"/>
  <c r="E50" i="21"/>
  <c r="E42" i="21"/>
  <c r="E34" i="21"/>
  <c r="E26" i="21"/>
  <c r="E18" i="21"/>
  <c r="E10" i="21"/>
  <c r="D43" i="21"/>
  <c r="D67" i="21"/>
  <c r="D68" i="21"/>
  <c r="D12" i="21"/>
  <c r="D76" i="21"/>
  <c r="D19" i="21"/>
  <c r="D84" i="21"/>
  <c r="D20" i="21"/>
  <c r="D44" i="21"/>
  <c r="D60" i="21"/>
  <c r="D91" i="21"/>
  <c r="D27" i="21"/>
  <c r="D92" i="21"/>
  <c r="D11" i="21"/>
  <c r="D75" i="21"/>
  <c r="D35" i="21"/>
  <c r="D99" i="21"/>
  <c r="D59" i="21"/>
  <c r="D100" i="21"/>
  <c r="D17" i="21"/>
  <c r="D33" i="21"/>
  <c r="D49" i="21"/>
  <c r="D89" i="21"/>
  <c r="D13" i="21"/>
  <c r="D29" i="21"/>
  <c r="D37" i="21"/>
  <c r="D61" i="21"/>
  <c r="D85" i="21"/>
  <c r="D14" i="21"/>
  <c r="D46" i="21"/>
  <c r="D54" i="21"/>
  <c r="D78" i="21"/>
  <c r="D102" i="21"/>
  <c r="D41" i="21"/>
  <c r="D73" i="21"/>
  <c r="D97" i="21"/>
  <c r="D45" i="21"/>
  <c r="D69" i="21"/>
  <c r="D77" i="21"/>
  <c r="D101" i="21"/>
  <c r="D31" i="21"/>
  <c r="D71" i="21"/>
  <c r="D103" i="21"/>
  <c r="D9" i="21"/>
  <c r="D81" i="21"/>
  <c r="D21" i="21"/>
  <c r="D53" i="21"/>
  <c r="D93" i="21"/>
  <c r="B7" i="12"/>
  <c r="B23" i="15"/>
  <c r="B25" i="15"/>
  <c r="B24" i="15"/>
  <c r="B9" i="15"/>
  <c r="B8" i="15"/>
  <c r="B7" i="15"/>
  <c r="B6" i="15"/>
  <c r="B5" i="15"/>
  <c r="B4" i="15"/>
  <c r="F23" i="6"/>
  <c r="G23" i="6" s="1"/>
  <c r="H23" i="6" s="1"/>
  <c r="F22" i="6"/>
  <c r="G22" i="6" s="1"/>
  <c r="H22" i="6" s="1"/>
  <c r="F21" i="6"/>
  <c r="G21" i="6" s="1"/>
  <c r="H21" i="6" s="1"/>
  <c r="F20" i="6"/>
  <c r="G20" i="6" s="1"/>
  <c r="H20" i="6" s="1"/>
  <c r="F19" i="6"/>
  <c r="G19" i="6" s="1"/>
  <c r="H19" i="6" s="1"/>
  <c r="F18" i="6"/>
  <c r="G18" i="6" s="1"/>
  <c r="H18" i="6" s="1"/>
  <c r="F17" i="6"/>
  <c r="G17" i="6" s="1"/>
  <c r="H17" i="6" s="1"/>
  <c r="F16" i="6"/>
  <c r="G16" i="6" s="1"/>
  <c r="H16" i="6" s="1"/>
  <c r="F15" i="6"/>
  <c r="G15" i="6" s="1"/>
  <c r="H15" i="6" s="1"/>
  <c r="F14" i="6"/>
  <c r="G14" i="6" s="1"/>
  <c r="H14" i="6" s="1"/>
  <c r="F13" i="6"/>
  <c r="G13" i="6" s="1"/>
  <c r="H13" i="6" s="1"/>
  <c r="F12" i="6"/>
  <c r="G12" i="6" s="1"/>
  <c r="H12" i="6" s="1"/>
  <c r="F11" i="6"/>
  <c r="I11" i="6" s="1"/>
  <c r="F10" i="6"/>
  <c r="G10" i="6" s="1"/>
  <c r="H10" i="6" s="1"/>
  <c r="F9" i="6"/>
  <c r="G9" i="6" s="1"/>
  <c r="H9" i="6" s="1"/>
  <c r="F8" i="6"/>
  <c r="G8" i="6" s="1"/>
  <c r="H8" i="6" s="1"/>
  <c r="F7" i="6"/>
  <c r="G7" i="6" s="1"/>
  <c r="H7" i="6" s="1"/>
  <c r="F6" i="6"/>
  <c r="G6" i="6" s="1"/>
  <c r="H6" i="6" s="1"/>
  <c r="F5" i="6"/>
  <c r="I5" i="6" s="1"/>
  <c r="F4" i="6"/>
  <c r="G4" i="6" s="1"/>
  <c r="H4" i="6" s="1"/>
  <c r="F23" i="5"/>
  <c r="F22" i="5"/>
  <c r="F21" i="5"/>
  <c r="D9" i="3"/>
  <c r="D10" i="3"/>
  <c r="B5" i="9" l="1"/>
  <c r="B35" i="15"/>
  <c r="F7" i="5"/>
  <c r="I7" i="5" s="1"/>
  <c r="F8" i="5"/>
  <c r="I8" i="5" s="1"/>
  <c r="F11" i="5"/>
  <c r="F19" i="5"/>
  <c r="F20" i="5"/>
  <c r="F5" i="5"/>
  <c r="F12" i="5"/>
  <c r="I12" i="5" s="1"/>
  <c r="F15" i="5"/>
  <c r="G15" i="5" s="1"/>
  <c r="H15" i="5" s="1"/>
  <c r="F6" i="5"/>
  <c r="F9" i="5"/>
  <c r="G9" i="5" s="1"/>
  <c r="H9" i="5" s="1"/>
  <c r="F16" i="5"/>
  <c r="F17" i="5"/>
  <c r="F4" i="5"/>
  <c r="I4" i="5" s="1"/>
  <c r="F18" i="5"/>
  <c r="G23" i="5"/>
  <c r="H23" i="5" s="1"/>
  <c r="G22" i="5"/>
  <c r="H22" i="5" s="1"/>
  <c r="I22" i="5"/>
  <c r="I21" i="5"/>
  <c r="G21" i="5"/>
  <c r="H21" i="5" s="1"/>
  <c r="R104" i="21"/>
  <c r="R65" i="21"/>
  <c r="R21" i="21"/>
  <c r="R46" i="21"/>
  <c r="R48" i="21"/>
  <c r="R5" i="21"/>
  <c r="R37" i="21"/>
  <c r="R16" i="21"/>
  <c r="R64" i="21"/>
  <c r="R32" i="21"/>
  <c r="R56" i="21"/>
  <c r="R74" i="21"/>
  <c r="R7" i="21"/>
  <c r="R10" i="21"/>
  <c r="R88" i="21"/>
  <c r="R22" i="21"/>
  <c r="R79" i="21"/>
  <c r="R80" i="21"/>
  <c r="R95" i="21"/>
  <c r="R47" i="21"/>
  <c r="R24" i="21"/>
  <c r="R38" i="21"/>
  <c r="R8" i="21"/>
  <c r="R58" i="21"/>
  <c r="R85" i="21"/>
  <c r="R61" i="21"/>
  <c r="R39" i="21"/>
  <c r="R30" i="21"/>
  <c r="R15" i="21"/>
  <c r="R59" i="21"/>
  <c r="R55" i="21"/>
  <c r="R62" i="21"/>
  <c r="R66" i="21"/>
  <c r="R40" i="21"/>
  <c r="R87" i="21"/>
  <c r="R25" i="21"/>
  <c r="R96" i="21"/>
  <c r="R86" i="21"/>
  <c r="R51" i="21"/>
  <c r="R28" i="21"/>
  <c r="R72" i="21"/>
  <c r="R45" i="21"/>
  <c r="R52" i="21"/>
  <c r="R23" i="21"/>
  <c r="R6" i="21"/>
  <c r="R70" i="21"/>
  <c r="R82" i="21"/>
  <c r="R90" i="21"/>
  <c r="R63" i="21"/>
  <c r="R18" i="21"/>
  <c r="R26" i="21"/>
  <c r="R11" i="21"/>
  <c r="R83" i="21"/>
  <c r="R34" i="21"/>
  <c r="R98" i="21"/>
  <c r="R19" i="21"/>
  <c r="R36" i="21"/>
  <c r="R57" i="21"/>
  <c r="R101" i="21"/>
  <c r="R42" i="21"/>
  <c r="R27" i="21"/>
  <c r="R94" i="21"/>
  <c r="R50" i="21"/>
  <c r="R17" i="21"/>
  <c r="R75" i="21"/>
  <c r="R20" i="21"/>
  <c r="R84" i="21"/>
  <c r="R77" i="21"/>
  <c r="R81" i="21"/>
  <c r="R33" i="21"/>
  <c r="R93" i="21"/>
  <c r="R97" i="21"/>
  <c r="R92" i="21"/>
  <c r="R53" i="21"/>
  <c r="R9" i="21"/>
  <c r="R91" i="21"/>
  <c r="R13" i="21"/>
  <c r="R43" i="21"/>
  <c r="R60" i="21"/>
  <c r="R69" i="21"/>
  <c r="R103" i="21"/>
  <c r="R100" i="21"/>
  <c r="R73" i="21"/>
  <c r="R99" i="21"/>
  <c r="R78" i="21"/>
  <c r="R35" i="21"/>
  <c r="R41" i="21"/>
  <c r="R89" i="21"/>
  <c r="R68" i="21"/>
  <c r="R49" i="21"/>
  <c r="R14" i="21"/>
  <c r="R54" i="21"/>
  <c r="R102" i="21"/>
  <c r="R44" i="21"/>
  <c r="R31" i="21"/>
  <c r="R29" i="21"/>
  <c r="R67" i="21"/>
  <c r="R12" i="21"/>
  <c r="R76" i="21"/>
  <c r="R71" i="21"/>
  <c r="I17" i="6"/>
  <c r="I15" i="6"/>
  <c r="I9" i="6"/>
  <c r="I7" i="6"/>
  <c r="I13" i="6"/>
  <c r="G11" i="6"/>
  <c r="H11" i="6" s="1"/>
  <c r="I23" i="6"/>
  <c r="I4" i="6"/>
  <c r="I19" i="6"/>
  <c r="I21" i="6"/>
  <c r="I23" i="5"/>
  <c r="I8" i="6"/>
  <c r="I10" i="6"/>
  <c r="I12" i="6"/>
  <c r="I14" i="6"/>
  <c r="I16" i="6"/>
  <c r="I18" i="6"/>
  <c r="I20" i="6"/>
  <c r="I22" i="6"/>
  <c r="I6" i="6"/>
  <c r="G5" i="6"/>
  <c r="G17" i="5" l="1"/>
  <c r="H17" i="5" s="1"/>
  <c r="G12" i="5"/>
  <c r="H12" i="5" s="1"/>
  <c r="F14" i="5"/>
  <c r="I14" i="5" s="1"/>
  <c r="F10" i="5"/>
  <c r="I10" i="5" s="1"/>
  <c r="G19" i="5"/>
  <c r="H19" i="5" s="1"/>
  <c r="I19" i="5"/>
  <c r="G11" i="5"/>
  <c r="H11" i="5" s="1"/>
  <c r="I11" i="5"/>
  <c r="F13" i="5"/>
  <c r="I18" i="5"/>
  <c r="I16" i="5"/>
  <c r="I5" i="5"/>
  <c r="G6" i="5"/>
  <c r="H6" i="5" s="1"/>
  <c r="G7" i="5"/>
  <c r="H7" i="5" s="1"/>
  <c r="I6" i="5"/>
  <c r="G20" i="5"/>
  <c r="H20" i="5" s="1"/>
  <c r="I20" i="5"/>
  <c r="G18" i="5"/>
  <c r="H18" i="5" s="1"/>
  <c r="I15" i="5"/>
  <c r="G5" i="5"/>
  <c r="H5" i="5" s="1"/>
  <c r="I17" i="5"/>
  <c r="G16" i="5"/>
  <c r="H16" i="5" s="1"/>
  <c r="G8" i="5"/>
  <c r="H8" i="5" s="1"/>
  <c r="I9" i="5"/>
  <c r="M6" i="6"/>
  <c r="M7" i="6" s="1"/>
  <c r="M4" i="6"/>
  <c r="B44" i="15" s="1"/>
  <c r="H5" i="6"/>
  <c r="M5" i="6" s="1"/>
  <c r="B7" i="9" l="1"/>
  <c r="B45" i="15"/>
  <c r="G10" i="5"/>
  <c r="H10" i="5" s="1"/>
  <c r="G14" i="5"/>
  <c r="H14" i="5" s="1"/>
  <c r="I13" i="5"/>
  <c r="L6" i="5" s="1"/>
  <c r="G13" i="5"/>
  <c r="H13" i="5" s="1"/>
  <c r="L7" i="5" l="1"/>
  <c r="G4" i="5" l="1"/>
  <c r="L4" i="5" s="1"/>
  <c r="B39" i="15" s="1"/>
  <c r="H4" i="5" l="1"/>
  <c r="L5" i="5" s="1"/>
  <c r="B6" i="9" l="1"/>
  <c r="B8" i="9" s="1"/>
  <c r="B10" i="9" s="1"/>
  <c r="B11" i="9" s="1"/>
  <c r="B40" i="15"/>
  <c r="B13" i="3"/>
  <c r="B36" i="15" s="1"/>
  <c r="B16" i="22" l="1"/>
  <c r="C9" i="23" s="1"/>
  <c r="B9" i="9"/>
  <c r="B12" i="9"/>
  <c r="B5" i="11" s="1"/>
  <c r="B8" i="11" s="1"/>
  <c r="B9" i="11" s="1"/>
  <c r="B10" i="11" s="1"/>
  <c r="B11" i="11"/>
  <c r="B12" i="11" s="1"/>
  <c r="B5" i="10" l="1"/>
  <c r="B9" i="23"/>
  <c r="B34" i="15"/>
  <c r="B46" i="15"/>
  <c r="B41" i="15"/>
  <c r="B6" i="13"/>
  <c r="B12" i="15"/>
  <c r="B8" i="10" l="1"/>
  <c r="B11" i="10" s="1"/>
  <c r="B12" i="10" s="1"/>
  <c r="B21" i="15"/>
  <c r="B15" i="22"/>
  <c r="B11" i="15"/>
  <c r="B18" i="22" s="1"/>
  <c r="B11" i="23" s="1"/>
  <c r="B5" i="13"/>
  <c r="B19" i="22"/>
  <c r="B31" i="15"/>
  <c r="B4" i="13" l="1"/>
  <c r="B7" i="13" s="1"/>
  <c r="B8" i="13" s="1"/>
  <c r="B9" i="13" s="1"/>
  <c r="B15" i="15" s="1"/>
  <c r="B13" i="10"/>
  <c r="B14" i="10" s="1"/>
  <c r="B10" i="15"/>
  <c r="B17" i="22" s="1"/>
  <c r="C10" i="23" s="1"/>
  <c r="C11" i="23"/>
  <c r="B22" i="15"/>
  <c r="F67" i="21"/>
  <c r="M67" i="21" s="1"/>
  <c r="O67" i="21" s="1"/>
  <c r="F44" i="21"/>
  <c r="M44" i="21" s="1"/>
  <c r="O44" i="21" s="1"/>
  <c r="F89" i="21"/>
  <c r="M89" i="21" s="1"/>
  <c r="O89" i="21" s="1"/>
  <c r="F98" i="21"/>
  <c r="M98" i="21" s="1"/>
  <c r="O98" i="21" s="1"/>
  <c r="F82" i="21"/>
  <c r="M82" i="21" s="1"/>
  <c r="O82" i="21" s="1"/>
  <c r="F29" i="21"/>
  <c r="M29" i="21" s="1"/>
  <c r="O29" i="21" s="1"/>
  <c r="F6" i="21"/>
  <c r="M6" i="21" s="1"/>
  <c r="O6" i="21" s="1"/>
  <c r="F81" i="21"/>
  <c r="M81" i="21" s="1"/>
  <c r="O81" i="21" s="1"/>
  <c r="F93" i="21"/>
  <c r="M93" i="21" s="1"/>
  <c r="O93" i="21" s="1"/>
  <c r="F23" i="21"/>
  <c r="M23" i="21" s="1"/>
  <c r="O23" i="21" s="1"/>
  <c r="F14" i="21"/>
  <c r="M14" i="21" s="1"/>
  <c r="O14" i="21" s="1"/>
  <c r="F12" i="21"/>
  <c r="M12" i="21" s="1"/>
  <c r="O12" i="21" s="1"/>
  <c r="F61" i="21"/>
  <c r="M61" i="21" s="1"/>
  <c r="O61" i="21" s="1"/>
  <c r="F24" i="21"/>
  <c r="M24" i="21" s="1"/>
  <c r="O24" i="21" s="1"/>
  <c r="F91" i="21"/>
  <c r="M91" i="21" s="1"/>
  <c r="O91" i="21" s="1"/>
  <c r="F71" i="21"/>
  <c r="M71" i="21" s="1"/>
  <c r="O71" i="21" s="1"/>
  <c r="F5" i="21"/>
  <c r="M5" i="21" s="1"/>
  <c r="O5" i="21" s="1"/>
  <c r="F45" i="21"/>
  <c r="M45" i="21" s="1"/>
  <c r="O45" i="21" s="1"/>
  <c r="F86" i="21"/>
  <c r="M86" i="21" s="1"/>
  <c r="O86" i="21" s="1"/>
  <c r="F53" i="21"/>
  <c r="M53" i="21" s="1"/>
  <c r="O53" i="21" s="1"/>
  <c r="F22" i="21"/>
  <c r="M22" i="21" s="1"/>
  <c r="O22" i="21" s="1"/>
  <c r="F32" i="21"/>
  <c r="M32" i="21" s="1"/>
  <c r="O32" i="21" s="1"/>
  <c r="F38" i="21"/>
  <c r="M38" i="21" s="1"/>
  <c r="O38" i="21" s="1"/>
  <c r="F92" i="21"/>
  <c r="M92" i="21" s="1"/>
  <c r="O92" i="21" s="1"/>
  <c r="F27" i="21"/>
  <c r="M27" i="21" s="1"/>
  <c r="O27" i="21" s="1"/>
  <c r="F13" i="21"/>
  <c r="M13" i="21" s="1"/>
  <c r="O13" i="21" s="1"/>
  <c r="F47" i="21"/>
  <c r="M47" i="21" s="1"/>
  <c r="O47" i="21" s="1"/>
  <c r="F11" i="21"/>
  <c r="M11" i="21" s="1"/>
  <c r="O11" i="21" s="1"/>
  <c r="F31" i="21"/>
  <c r="M31" i="21" s="1"/>
  <c r="O31" i="21" s="1"/>
  <c r="F16" i="21"/>
  <c r="M16" i="21" s="1"/>
  <c r="O16" i="21" s="1"/>
  <c r="F36" i="21"/>
  <c r="M36" i="21" s="1"/>
  <c r="O36" i="21" s="1"/>
  <c r="F104" i="21"/>
  <c r="M104" i="21" s="1"/>
  <c r="O104" i="21" s="1"/>
  <c r="F85" i="21"/>
  <c r="M85" i="21" s="1"/>
  <c r="O85" i="21" s="1"/>
  <c r="F35" i="21"/>
  <c r="M35" i="21" s="1"/>
  <c r="O35" i="21" s="1"/>
  <c r="F72" i="21"/>
  <c r="M72" i="21" s="1"/>
  <c r="O72" i="21" s="1"/>
  <c r="F70" i="21"/>
  <c r="M70" i="21" s="1"/>
  <c r="O70" i="21" s="1"/>
  <c r="F76" i="21"/>
  <c r="M76" i="21" s="1"/>
  <c r="O76" i="21" s="1"/>
  <c r="F94" i="21"/>
  <c r="M94" i="21" s="1"/>
  <c r="O94" i="21" s="1"/>
  <c r="F20" i="21"/>
  <c r="M20" i="21" s="1"/>
  <c r="O20" i="21" s="1"/>
  <c r="F73" i="21"/>
  <c r="M73" i="21" s="1"/>
  <c r="O73" i="21" s="1"/>
  <c r="F57" i="21"/>
  <c r="M57" i="21" s="1"/>
  <c r="O57" i="21" s="1"/>
  <c r="F9" i="21"/>
  <c r="M9" i="21" s="1"/>
  <c r="O9" i="21" s="1"/>
  <c r="B12" i="23"/>
  <c r="F26" i="21"/>
  <c r="M26" i="21" s="1"/>
  <c r="O26" i="21" s="1"/>
  <c r="F52" i="21"/>
  <c r="M52" i="21" s="1"/>
  <c r="O52" i="21" s="1"/>
  <c r="F48" i="21"/>
  <c r="M48" i="21" s="1"/>
  <c r="O48" i="21" s="1"/>
  <c r="F37" i="21"/>
  <c r="M37" i="21" s="1"/>
  <c r="O37" i="21" s="1"/>
  <c r="F74" i="21"/>
  <c r="M74" i="21" s="1"/>
  <c r="O74" i="21" s="1"/>
  <c r="F62" i="21"/>
  <c r="M62" i="21" s="1"/>
  <c r="O62" i="21" s="1"/>
  <c r="F64" i="21"/>
  <c r="M64" i="21" s="1"/>
  <c r="O64" i="21" s="1"/>
  <c r="F17" i="21"/>
  <c r="M17" i="21" s="1"/>
  <c r="O17" i="21" s="1"/>
  <c r="F46" i="21"/>
  <c r="M46" i="21" s="1"/>
  <c r="O46" i="21" s="1"/>
  <c r="C12" i="23"/>
  <c r="F68" i="21"/>
  <c r="M68" i="21" s="1"/>
  <c r="O68" i="21" s="1"/>
  <c r="F7" i="21"/>
  <c r="M7" i="21" s="1"/>
  <c r="O7" i="21" s="1"/>
  <c r="F30" i="21"/>
  <c r="M30" i="21" s="1"/>
  <c r="O30" i="21" s="1"/>
  <c r="F39" i="21"/>
  <c r="M39" i="21" s="1"/>
  <c r="O39" i="21" s="1"/>
  <c r="F51" i="21"/>
  <c r="M51" i="21" s="1"/>
  <c r="O51" i="21" s="1"/>
  <c r="F55" i="21"/>
  <c r="M55" i="21" s="1"/>
  <c r="O55" i="21" s="1"/>
  <c r="F8" i="21"/>
  <c r="M8" i="21" s="1"/>
  <c r="O8" i="21" s="1"/>
  <c r="F60" i="21"/>
  <c r="M60" i="21" s="1"/>
  <c r="O60" i="21" s="1"/>
  <c r="F96" i="21"/>
  <c r="M96" i="21" s="1"/>
  <c r="O96" i="21" s="1"/>
  <c r="F49" i="21"/>
  <c r="M49" i="21" s="1"/>
  <c r="O49" i="21" s="1"/>
  <c r="F84" i="21"/>
  <c r="M84" i="21" s="1"/>
  <c r="O84" i="21" s="1"/>
  <c r="F58" i="21"/>
  <c r="M58" i="21" s="1"/>
  <c r="O58" i="21" s="1"/>
  <c r="F21" i="21"/>
  <c r="M21" i="21" s="1"/>
  <c r="O21" i="21" s="1"/>
  <c r="F83" i="21"/>
  <c r="M83" i="21" s="1"/>
  <c r="O83" i="21" s="1"/>
  <c r="F50" i="21"/>
  <c r="M50" i="21" s="1"/>
  <c r="O50" i="21" s="1"/>
  <c r="F79" i="21"/>
  <c r="M79" i="21" s="1"/>
  <c r="O79" i="21" s="1"/>
  <c r="F40" i="21"/>
  <c r="M40" i="21" s="1"/>
  <c r="O40" i="21" s="1"/>
  <c r="F54" i="21"/>
  <c r="M54" i="21" s="1"/>
  <c r="O54" i="21" s="1"/>
  <c r="F59" i="21"/>
  <c r="M59" i="21" s="1"/>
  <c r="O59" i="21" s="1"/>
  <c r="F28" i="21"/>
  <c r="M28" i="21" s="1"/>
  <c r="O28" i="21" s="1"/>
  <c r="F63" i="21"/>
  <c r="M63" i="21" s="1"/>
  <c r="O63" i="21" s="1"/>
  <c r="F33" i="21"/>
  <c r="M33" i="21" s="1"/>
  <c r="O33" i="21" s="1"/>
  <c r="F103" i="21"/>
  <c r="M103" i="21" s="1"/>
  <c r="O103" i="21" s="1"/>
  <c r="F97" i="21"/>
  <c r="M97" i="21" s="1"/>
  <c r="O97" i="21" s="1"/>
  <c r="F100" i="21"/>
  <c r="M100" i="21" s="1"/>
  <c r="O100" i="21" s="1"/>
  <c r="F77" i="21"/>
  <c r="M77" i="21" s="1"/>
  <c r="O77" i="21" s="1"/>
  <c r="F34" i="21"/>
  <c r="M34" i="21" s="1"/>
  <c r="O34" i="21" s="1"/>
  <c r="F80" i="21"/>
  <c r="M80" i="21" s="1"/>
  <c r="O80" i="21" s="1"/>
  <c r="F42" i="21"/>
  <c r="M42" i="21" s="1"/>
  <c r="O42" i="21" s="1"/>
  <c r="F78" i="21"/>
  <c r="M78" i="21" s="1"/>
  <c r="O78" i="21" s="1"/>
  <c r="F102" i="21"/>
  <c r="M102" i="21" s="1"/>
  <c r="O102" i="21" s="1"/>
  <c r="F69" i="21"/>
  <c r="M69" i="21" s="1"/>
  <c r="O69" i="21" s="1"/>
  <c r="F41" i="21"/>
  <c r="M41" i="21" s="1"/>
  <c r="O41" i="21" s="1"/>
  <c r="F99" i="21"/>
  <c r="M99" i="21" s="1"/>
  <c r="O99" i="21" s="1"/>
  <c r="F95" i="21"/>
  <c r="M95" i="21" s="1"/>
  <c r="O95" i="21" s="1"/>
  <c r="F87" i="21"/>
  <c r="M87" i="21" s="1"/>
  <c r="O87" i="21" s="1"/>
  <c r="F18" i="21"/>
  <c r="M18" i="21" s="1"/>
  <c r="O18" i="21" s="1"/>
  <c r="F10" i="21"/>
  <c r="M10" i="21" s="1"/>
  <c r="O10" i="21" s="1"/>
  <c r="F43" i="21"/>
  <c r="M43" i="21" s="1"/>
  <c r="O43" i="21" s="1"/>
  <c r="F25" i="21"/>
  <c r="M25" i="21" s="1"/>
  <c r="O25" i="21" s="1"/>
  <c r="F66" i="21"/>
  <c r="M66" i="21" s="1"/>
  <c r="O66" i="21" s="1"/>
  <c r="F15" i="21"/>
  <c r="M15" i="21" s="1"/>
  <c r="O15" i="21" s="1"/>
  <c r="F90" i="21"/>
  <c r="M90" i="21" s="1"/>
  <c r="O90" i="21" s="1"/>
  <c r="F56" i="21"/>
  <c r="M56" i="21" s="1"/>
  <c r="O56" i="21" s="1"/>
  <c r="F19" i="21"/>
  <c r="M19" i="21" s="1"/>
  <c r="O19" i="21" s="1"/>
  <c r="F65" i="21"/>
  <c r="M65" i="21" s="1"/>
  <c r="O65" i="21" s="1"/>
  <c r="F101" i="21"/>
  <c r="M101" i="21" s="1"/>
  <c r="O101" i="21" s="1"/>
  <c r="F88" i="21"/>
  <c r="M88" i="21" s="1"/>
  <c r="O88" i="21" s="1"/>
  <c r="F75" i="21"/>
  <c r="M75" i="21" s="1"/>
  <c r="O75" i="21" s="1"/>
  <c r="B10" i="23" l="1"/>
  <c r="B13" i="15"/>
  <c r="B28" i="15"/>
  <c r="B11" i="13"/>
  <c r="B17" i="15" s="1"/>
  <c r="B27" i="15"/>
  <c r="P80" i="21"/>
  <c r="T80" i="21"/>
  <c r="Q80" i="21"/>
  <c r="P62" i="21"/>
  <c r="T62" i="21"/>
  <c r="Q62" i="21"/>
  <c r="P93" i="21"/>
  <c r="Q93" i="21"/>
  <c r="T93" i="21"/>
  <c r="P34" i="21"/>
  <c r="T34" i="21"/>
  <c r="Q34" i="21"/>
  <c r="Q30" i="21"/>
  <c r="P30" i="21"/>
  <c r="T30" i="21"/>
  <c r="P104" i="21"/>
  <c r="Q104" i="21"/>
  <c r="T104" i="21"/>
  <c r="Q81" i="21"/>
  <c r="T81" i="21"/>
  <c r="P81" i="21"/>
  <c r="Q77" i="21"/>
  <c r="T77" i="21"/>
  <c r="P77" i="21"/>
  <c r="P49" i="21"/>
  <c r="Q49" i="21"/>
  <c r="T49" i="21"/>
  <c r="P20" i="21"/>
  <c r="Q20" i="21"/>
  <c r="T20" i="21"/>
  <c r="Q36" i="21"/>
  <c r="P36" i="21"/>
  <c r="T36" i="21"/>
  <c r="Q91" i="21"/>
  <c r="T91" i="21"/>
  <c r="P91" i="21"/>
  <c r="Q75" i="21"/>
  <c r="P75" i="21"/>
  <c r="T75" i="21"/>
  <c r="P66" i="21"/>
  <c r="Q66" i="21"/>
  <c r="T66" i="21"/>
  <c r="Q41" i="21"/>
  <c r="T41" i="21"/>
  <c r="P41" i="21"/>
  <c r="P100" i="21"/>
  <c r="Q100" i="21"/>
  <c r="T100" i="21"/>
  <c r="P40" i="21"/>
  <c r="T40" i="21"/>
  <c r="Q40" i="21"/>
  <c r="P96" i="21"/>
  <c r="T96" i="21"/>
  <c r="Q96" i="21"/>
  <c r="P68" i="21"/>
  <c r="Q68" i="21"/>
  <c r="T68" i="21"/>
  <c r="Q48" i="21"/>
  <c r="P48" i="21"/>
  <c r="T48" i="21"/>
  <c r="Q94" i="21"/>
  <c r="P94" i="21"/>
  <c r="T94" i="21"/>
  <c r="P16" i="21"/>
  <c r="Q16" i="21"/>
  <c r="T16" i="21"/>
  <c r="Q32" i="21"/>
  <c r="P32" i="21"/>
  <c r="T32" i="21"/>
  <c r="Q24" i="21"/>
  <c r="P24" i="21"/>
  <c r="T24" i="21"/>
  <c r="Q29" i="21"/>
  <c r="T29" i="21"/>
  <c r="P29" i="21"/>
  <c r="P58" i="21"/>
  <c r="Q58" i="21"/>
  <c r="T58" i="21"/>
  <c r="Q27" i="21"/>
  <c r="T27" i="21"/>
  <c r="P27" i="21"/>
  <c r="P90" i="21"/>
  <c r="T90" i="21"/>
  <c r="Q90" i="21"/>
  <c r="Q84" i="21"/>
  <c r="P84" i="21"/>
  <c r="T84" i="21"/>
  <c r="P73" i="21"/>
  <c r="Q73" i="21"/>
  <c r="T73" i="21"/>
  <c r="P71" i="21"/>
  <c r="Q71" i="21"/>
  <c r="T71" i="21"/>
  <c r="P15" i="21"/>
  <c r="Q15" i="21"/>
  <c r="T15" i="21"/>
  <c r="P54" i="21"/>
  <c r="Q54" i="21"/>
  <c r="T54" i="21"/>
  <c r="P37" i="21"/>
  <c r="T37" i="21"/>
  <c r="Q37" i="21"/>
  <c r="Q38" i="21"/>
  <c r="T38" i="21"/>
  <c r="P38" i="21"/>
  <c r="P6" i="21"/>
  <c r="Q6" i="21"/>
  <c r="T6" i="21"/>
  <c r="Q88" i="21"/>
  <c r="T88" i="21"/>
  <c r="P88" i="21"/>
  <c r="Q25" i="21"/>
  <c r="P25" i="21"/>
  <c r="T25" i="21"/>
  <c r="Q69" i="21"/>
  <c r="T69" i="21"/>
  <c r="P69" i="21"/>
  <c r="Q97" i="21"/>
  <c r="T97" i="21"/>
  <c r="P97" i="21"/>
  <c r="Q79" i="21"/>
  <c r="T79" i="21"/>
  <c r="P79" i="21"/>
  <c r="Q60" i="21"/>
  <c r="T60" i="21"/>
  <c r="P60" i="21"/>
  <c r="P52" i="21"/>
  <c r="T52" i="21"/>
  <c r="Q52" i="21"/>
  <c r="P76" i="21"/>
  <c r="T76" i="21"/>
  <c r="Q76" i="21"/>
  <c r="P31" i="21"/>
  <c r="Q31" i="21"/>
  <c r="T31" i="21"/>
  <c r="P22" i="21"/>
  <c r="Q22" i="21"/>
  <c r="T22" i="21"/>
  <c r="Q61" i="21"/>
  <c r="T61" i="21"/>
  <c r="P61" i="21"/>
  <c r="Q82" i="21"/>
  <c r="P82" i="21"/>
  <c r="T82" i="21"/>
  <c r="Q28" i="21"/>
  <c r="P28" i="21"/>
  <c r="T28" i="21"/>
  <c r="P57" i="21"/>
  <c r="T57" i="21"/>
  <c r="Q57" i="21"/>
  <c r="P5" i="21"/>
  <c r="B19" i="23"/>
  <c r="T5" i="21"/>
  <c r="B18" i="23"/>
  <c r="Q5" i="21"/>
  <c r="B17" i="23"/>
  <c r="B20" i="23"/>
  <c r="B16" i="23"/>
  <c r="Q95" i="21"/>
  <c r="P95" i="21"/>
  <c r="T95" i="21"/>
  <c r="Q59" i="21"/>
  <c r="P59" i="21"/>
  <c r="T59" i="21"/>
  <c r="P74" i="21"/>
  <c r="Q74" i="21"/>
  <c r="T74" i="21"/>
  <c r="P92" i="21"/>
  <c r="T92" i="21"/>
  <c r="Q92" i="21"/>
  <c r="Q99" i="21"/>
  <c r="P99" i="21"/>
  <c r="T99" i="21"/>
  <c r="P7" i="21"/>
  <c r="T7" i="21"/>
  <c r="Q7" i="21"/>
  <c r="P101" i="21"/>
  <c r="Q101" i="21"/>
  <c r="T101" i="21"/>
  <c r="Q43" i="21"/>
  <c r="T43" i="21"/>
  <c r="P43" i="21"/>
  <c r="P102" i="21"/>
  <c r="Q102" i="21"/>
  <c r="T102" i="21"/>
  <c r="P103" i="21"/>
  <c r="Q103" i="21"/>
  <c r="T103" i="21"/>
  <c r="P50" i="21"/>
  <c r="Q50" i="21"/>
  <c r="T50" i="21"/>
  <c r="P8" i="21"/>
  <c r="Q8" i="21"/>
  <c r="T8" i="21"/>
  <c r="Q46" i="21"/>
  <c r="T46" i="21"/>
  <c r="P46" i="21"/>
  <c r="P26" i="21"/>
  <c r="Q26" i="21"/>
  <c r="T26" i="21"/>
  <c r="Q70" i="21"/>
  <c r="P70" i="21"/>
  <c r="T70" i="21"/>
  <c r="Q11" i="21"/>
  <c r="P11" i="21"/>
  <c r="T11" i="21"/>
  <c r="P53" i="21"/>
  <c r="Q53" i="21"/>
  <c r="T53" i="21"/>
  <c r="P12" i="21"/>
  <c r="T12" i="21"/>
  <c r="Q12" i="21"/>
  <c r="Q98" i="21"/>
  <c r="P98" i="21"/>
  <c r="T98" i="21"/>
  <c r="Q56" i="21"/>
  <c r="T56" i="21"/>
  <c r="P56" i="21"/>
  <c r="P85" i="21"/>
  <c r="Q85" i="21"/>
  <c r="T85" i="21"/>
  <c r="Q78" i="21"/>
  <c r="T78" i="21"/>
  <c r="P78" i="21"/>
  <c r="Q55" i="21"/>
  <c r="P55" i="21"/>
  <c r="T55" i="21"/>
  <c r="Q72" i="21"/>
  <c r="P72" i="21"/>
  <c r="T72" i="21"/>
  <c r="Q14" i="21"/>
  <c r="P14" i="21"/>
  <c r="T14" i="21"/>
  <c r="Q89" i="21"/>
  <c r="P89" i="21"/>
  <c r="T89" i="21"/>
  <c r="P87" i="21"/>
  <c r="T87" i="21"/>
  <c r="Q87" i="21"/>
  <c r="Q39" i="21"/>
  <c r="P39" i="21"/>
  <c r="T39" i="21"/>
  <c r="Q67" i="21"/>
  <c r="P67" i="21"/>
  <c r="T67" i="21"/>
  <c r="Q65" i="21"/>
  <c r="P65" i="21"/>
  <c r="T65" i="21"/>
  <c r="Q10" i="21"/>
  <c r="P10" i="21"/>
  <c r="T10" i="21"/>
  <c r="Q33" i="21"/>
  <c r="T33" i="21"/>
  <c r="P33" i="21"/>
  <c r="Q83" i="21"/>
  <c r="P83" i="21"/>
  <c r="T83" i="21"/>
  <c r="P17" i="21"/>
  <c r="T17" i="21"/>
  <c r="Q17" i="21"/>
  <c r="Q47" i="21"/>
  <c r="T47" i="21"/>
  <c r="P47" i="21"/>
  <c r="Q86" i="21"/>
  <c r="T86" i="21"/>
  <c r="P86" i="21"/>
  <c r="Q19" i="21"/>
  <c r="P19" i="21"/>
  <c r="T19" i="21"/>
  <c r="Q18" i="21"/>
  <c r="P18" i="21"/>
  <c r="T18" i="21"/>
  <c r="Q42" i="21"/>
  <c r="P42" i="21"/>
  <c r="T42" i="21"/>
  <c r="Q63" i="21"/>
  <c r="T63" i="21"/>
  <c r="P63" i="21"/>
  <c r="Q21" i="21"/>
  <c r="T21" i="21"/>
  <c r="P21" i="21"/>
  <c r="Q51" i="21"/>
  <c r="P51" i="21"/>
  <c r="T51" i="21"/>
  <c r="P64" i="21"/>
  <c r="Q64" i="21"/>
  <c r="T64" i="21"/>
  <c r="P9" i="21"/>
  <c r="Q9" i="21"/>
  <c r="T9" i="21"/>
  <c r="P35" i="21"/>
  <c r="Q35" i="21"/>
  <c r="T35" i="21"/>
  <c r="P13" i="21"/>
  <c r="T13" i="21"/>
  <c r="Q13" i="21"/>
  <c r="P45" i="21"/>
  <c r="T45" i="21"/>
  <c r="Q45" i="21"/>
  <c r="Q23" i="21"/>
  <c r="T23" i="21"/>
  <c r="P23" i="21"/>
  <c r="P44" i="21"/>
  <c r="Q44" i="21"/>
  <c r="T44" i="21"/>
  <c r="B29" i="15" l="1"/>
  <c r="B10" i="13"/>
  <c r="B14" i="15"/>
  <c r="B8" i="12"/>
  <c r="B9" i="12" s="1"/>
  <c r="B20" i="15" s="1"/>
  <c r="E16" i="23"/>
  <c r="C16" i="23"/>
  <c r="G16" i="23"/>
  <c r="H16" i="23"/>
  <c r="D16" i="23"/>
  <c r="F16" i="23"/>
  <c r="I16" i="23"/>
  <c r="F20" i="23"/>
  <c r="G20" i="23"/>
  <c r="D20" i="23"/>
  <c r="E20" i="23"/>
  <c r="C20" i="23"/>
  <c r="I20" i="23"/>
  <c r="H20" i="23"/>
  <c r="D17" i="23"/>
  <c r="C17" i="23"/>
  <c r="F17" i="23"/>
  <c r="H17" i="23"/>
  <c r="I17" i="23"/>
  <c r="E17" i="23"/>
  <c r="G17" i="23"/>
  <c r="C18" i="23"/>
  <c r="F18" i="23"/>
  <c r="I18" i="23"/>
  <c r="D18" i="23"/>
  <c r="E18" i="23"/>
  <c r="G18" i="23"/>
  <c r="H18" i="23"/>
  <c r="G19" i="23"/>
  <c r="C19" i="23"/>
  <c r="D19" i="23"/>
  <c r="I19" i="23"/>
  <c r="F19" i="23"/>
  <c r="H19" i="23"/>
  <c r="E19" i="23"/>
  <c r="B16" i="15" l="1"/>
  <c r="B12" i="13"/>
  <c r="B13" i="13" l="1"/>
  <c r="B19" i="15" s="1"/>
  <c r="B18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2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Roof usability factor is a user-adjustable assumption. Use 70%-85% depending on shading, access, setbacks and layout.</t>
        </r>
      </text>
    </comment>
    <comment ref="B2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Daytime load share affects how much PV generation is likely to be self-consumed.</t>
        </r>
      </text>
    </comment>
    <comment ref="B2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Critical load percent drives battery sizing. Use the share of load that truly needs backup.</t>
        </r>
      </text>
    </comment>
    <comment ref="B2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Backup hours target is a strategic design choice; it is not the same as total outage hours.</t>
        </r>
      </text>
    </comment>
    <comment ref="B2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Target solar share is a design preference. High values may be limited by roof area.</t>
        </r>
      </text>
    </comment>
    <comment ref="B2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Battery depth of discharge. Typical lithium values are 80%-90%; use conservative values if uncertain.</t>
        </r>
      </text>
    </comment>
    <comment ref="B30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Editable user assumption. Default tuned for Nigeria. Update per market.</t>
        </r>
      </text>
    </comment>
    <comment ref="B4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Regional solar yield defaults are pulled from Assumptions sheet. Override if site-specific data is available.</t>
        </r>
      </text>
    </comment>
  </commentList>
</comments>
</file>

<file path=xl/sharedStrings.xml><?xml version="1.0" encoding="utf-8"?>
<sst xmlns="http://schemas.openxmlformats.org/spreadsheetml/2006/main" count="2761" uniqueCount="943">
  <si>
    <t>Solarvy Energy Platform Calculation Engine - Master Workbook</t>
  </si>
  <si>
    <t>Purpose</t>
  </si>
  <si>
    <t>How to use</t>
  </si>
  <si>
    <t>Input routes</t>
  </si>
  <si>
    <t>Objectives</t>
  </si>
  <si>
    <t>Primary output</t>
  </si>
  <si>
    <t>Outputs</t>
  </si>
  <si>
    <t>User Inputs</t>
  </si>
  <si>
    <t>Assessment Identity</t>
  </si>
  <si>
    <t>Assessment_ID</t>
  </si>
  <si>
    <t>SV-0001</t>
  </si>
  <si>
    <t>Scenario_Name</t>
  </si>
  <si>
    <t>Base Case</t>
  </si>
  <si>
    <t>Currency_Symbol</t>
  </si>
  <si>
    <t>₦</t>
  </si>
  <si>
    <t>Country</t>
  </si>
  <si>
    <t>Nigeria</t>
  </si>
  <si>
    <t>Lagos</t>
  </si>
  <si>
    <t>Property_Type</t>
  </si>
  <si>
    <t>Hotel</t>
  </si>
  <si>
    <t>Power_Setup</t>
  </si>
  <si>
    <t>Objective_Mode</t>
  </si>
  <si>
    <t>Input_Method</t>
  </si>
  <si>
    <t>Site and Usage Inputs</t>
  </si>
  <si>
    <t>Monthly_Usage_kWh</t>
  </si>
  <si>
    <t>Peak_Load_kW</t>
  </si>
  <si>
    <t>Outage_Hours_per_Day</t>
  </si>
  <si>
    <t>Roof_Area_m2</t>
  </si>
  <si>
    <t>Roof_Usability_Factor</t>
  </si>
  <si>
    <t>Daytime_Load_Share</t>
  </si>
  <si>
    <t>Critical_Load_Percent</t>
  </si>
  <si>
    <t>Backup_Hours_Target</t>
  </si>
  <si>
    <t>Target_Solar_Share</t>
  </si>
  <si>
    <t>Battery_DoD</t>
  </si>
  <si>
    <t>Commercial Inputs</t>
  </si>
  <si>
    <t>Grid_Tariff_per_kWh</t>
  </si>
  <si>
    <t>Diesel_Price_per_Litre</t>
  </si>
  <si>
    <t>Generator_kWh_per_Litre</t>
  </si>
  <si>
    <t>PV_Capex_per_kWp</t>
  </si>
  <si>
    <t>Battery_Capex_per_kWh</t>
  </si>
  <si>
    <t>Inverter_Capex_per_kW</t>
  </si>
  <si>
    <t>BOS_Factor</t>
  </si>
  <si>
    <t>Annual_OM_Rate</t>
  </si>
  <si>
    <t>Discount_Rate</t>
  </si>
  <si>
    <t>System_Life_Years</t>
  </si>
  <si>
    <t>Regional Technical Inputs / Overrides</t>
  </si>
  <si>
    <t>Solar_Yield_kWh_per_kWp_yr</t>
  </si>
  <si>
    <t>Self_Consumption_Factor</t>
  </si>
  <si>
    <t>Inverter_Oversize_Factor</t>
  </si>
  <si>
    <t>Area_per_kWp_m2</t>
  </si>
  <si>
    <t>Notes</t>
  </si>
  <si>
    <t>Use only one main input route per scenario</t>
  </si>
  <si>
    <t>Bill Input</t>
  </si>
  <si>
    <t>User-entered bill route</t>
  </si>
  <si>
    <t>Field</t>
  </si>
  <si>
    <t>Value</t>
  </si>
  <si>
    <t>Unit / Notes</t>
  </si>
  <si>
    <t>Formula / Derivation</t>
  </si>
  <si>
    <t>Monthly_Usage_kWh_Direct</t>
  </si>
  <si>
    <t>kWh/month</t>
  </si>
  <si>
    <t>Monthly_Spend</t>
  </si>
  <si>
    <t>Currency/month</t>
  </si>
  <si>
    <t>Tariff_per_kWh</t>
  </si>
  <si>
    <t>Currency/kWh</t>
  </si>
  <si>
    <t>linked from User_Inputs if not overridden</t>
  </si>
  <si>
    <t>Billing_Days</t>
  </si>
  <si>
    <t>days</t>
  </si>
  <si>
    <t>If only spend known -&gt; Estimated_kWh</t>
  </si>
  <si>
    <t>Effective_Bill_Monthly_kWh</t>
  </si>
  <si>
    <t>Appliance Library</t>
  </si>
  <si>
    <t>Category</t>
  </si>
  <si>
    <t>Television</t>
  </si>
  <si>
    <t>Average LED TV</t>
  </si>
  <si>
    <t>Laptop</t>
  </si>
  <si>
    <t>Router</t>
  </si>
  <si>
    <t>Fan</t>
  </si>
  <si>
    <t>Refrigerator</t>
  </si>
  <si>
    <t>Office</t>
  </si>
  <si>
    <t>Commercial</t>
  </si>
  <si>
    <t>Appliance Input</t>
  </si>
  <si>
    <t>Quantity</t>
  </si>
  <si>
    <t>Hours_per_Day</t>
  </si>
  <si>
    <t>Effective_Watts</t>
  </si>
  <si>
    <t>Daily_kWh</t>
  </si>
  <si>
    <t>Monthly_kWh</t>
  </si>
  <si>
    <t>Peak_Watts</t>
  </si>
  <si>
    <t>Appliance Totals</t>
  </si>
  <si>
    <t>Daily kWh</t>
  </si>
  <si>
    <t>Monthly kWh</t>
  </si>
  <si>
    <t>Raw Peak kW</t>
  </si>
  <si>
    <t>Diversity-adjusted Peak kW</t>
  </si>
  <si>
    <t>Custom Equipment</t>
  </si>
  <si>
    <t>Equipment_Name</t>
  </si>
  <si>
    <t>Rated_Watts</t>
  </si>
  <si>
    <t>Load_Factor</t>
  </si>
  <si>
    <t>Critical_Tag</t>
  </si>
  <si>
    <t>Custom Totals</t>
  </si>
  <si>
    <t>No</t>
  </si>
  <si>
    <t>Yes</t>
  </si>
  <si>
    <t>Water Pump</t>
  </si>
  <si>
    <t>Objective Logic</t>
  </si>
  <si>
    <t>Primary_Recommendation_Text</t>
  </si>
  <si>
    <t>School</t>
  </si>
  <si>
    <t>Home</t>
  </si>
  <si>
    <t>Factory</t>
  </si>
  <si>
    <t>Warehouse</t>
  </si>
  <si>
    <t>Hospital</t>
  </si>
  <si>
    <t/>
  </si>
  <si>
    <t>Annual_PV_Generation_kWh</t>
  </si>
  <si>
    <t>Usable_Solar_kWh</t>
  </si>
  <si>
    <t>Diesel Economics</t>
  </si>
  <si>
    <t>All zeros shown as -</t>
  </si>
  <si>
    <t>Total_Capex</t>
  </si>
  <si>
    <t>Lead_Type</t>
  </si>
  <si>
    <t>Recommended_Next_Step</t>
  </si>
  <si>
    <t>Confidence_Note</t>
  </si>
  <si>
    <t>Disclaimer_Text</t>
  </si>
  <si>
    <t>Simple payback</t>
  </si>
  <si>
    <t>Developer Bridge Specification</t>
  </si>
  <si>
    <t>Write inputs to</t>
  </si>
  <si>
    <t>User_Inputs!B4:B43 (main scenario fields)</t>
  </si>
  <si>
    <t>Bill_Input!B5:B7 if Bill route is used</t>
  </si>
  <si>
    <t>Appliance_Input!A4:E23 if Appliance route is used</t>
  </si>
  <si>
    <t>Custom_Equipment!A4:E23 and J4:J23 if Custom route is used</t>
  </si>
  <si>
    <t>Read outputs from</t>
  </si>
  <si>
    <t>Outputs!B4:B24 only</t>
  </si>
  <si>
    <t>Key commercial routing: Outputs!B20:B21</t>
  </si>
  <si>
    <t>Optional reporting: Financial_Model, Solar_Sizing, Battery_Sizing</t>
  </si>
  <si>
    <t>Integration note</t>
  </si>
  <si>
    <t>Recommended architecture: Frontend UI -&gt; backend API bridge -&gt; Excel engine -&gt; Outputs sheet -&gt; results page / supplier matching / lead form.</t>
  </si>
  <si>
    <t>Borehole Pump</t>
  </si>
  <si>
    <t>Microwave</t>
  </si>
  <si>
    <t>Washing Machine</t>
  </si>
  <si>
    <t xml:space="preserve">This is an input </t>
  </si>
  <si>
    <t>Decoder</t>
  </si>
  <si>
    <t>Deep Freezer</t>
  </si>
  <si>
    <t>WiFi Router</t>
  </si>
  <si>
    <t>Sound System</t>
  </si>
  <si>
    <t>Phone Chargers</t>
  </si>
  <si>
    <t>Solarvy Category</t>
  </si>
  <si>
    <t>Template Name</t>
  </si>
  <si>
    <t>Template Level</t>
  </si>
  <si>
    <t>Equipment</t>
  </si>
  <si>
    <t>Qty</t>
  </si>
  <si>
    <t>Wattage W</t>
  </si>
  <si>
    <t>Hours/Day</t>
  </si>
  <si>
    <t>Usage Pattern</t>
  </si>
  <si>
    <t>Duty Cycle</t>
  </si>
  <si>
    <t>Critical Load?</t>
  </si>
  <si>
    <t>Surge Factor</t>
  </si>
  <si>
    <t>Daily Wh</t>
  </si>
  <si>
    <t>Running W</t>
  </si>
  <si>
    <t>Surge W</t>
  </si>
  <si>
    <t>Studio / Self-contained - Essential</t>
  </si>
  <si>
    <t>LED Bulbs</t>
  </si>
  <si>
    <t>Continuous</t>
  </si>
  <si>
    <t>Fans</t>
  </si>
  <si>
    <t>Optional</t>
  </si>
  <si>
    <t>ICT</t>
  </si>
  <si>
    <t>Short use</t>
  </si>
  <si>
    <t>Cycles on/off</t>
  </si>
  <si>
    <t>Studio / Self-contained - Standard</t>
  </si>
  <si>
    <t>Standard</t>
  </si>
  <si>
    <t>1-Bedroom Flat - Essential</t>
  </si>
  <si>
    <t>1-Bedroom Flat - Standard</t>
  </si>
  <si>
    <t>Small Kitchen Appliance</t>
  </si>
  <si>
    <t>1-Bedroom Flat - Comfort</t>
  </si>
  <si>
    <t>AC 1HP</t>
  </si>
  <si>
    <t>Cycles heavily</t>
  </si>
  <si>
    <t>2-Bedroom Flat - Essential</t>
  </si>
  <si>
    <t>2-Bedroom Flat - Standard</t>
  </si>
  <si>
    <t>Sound Bar</t>
  </si>
  <si>
    <t>2-Bedroom Flat - Comfort</t>
  </si>
  <si>
    <t>3-Bedroom Flat - Standard</t>
  </si>
  <si>
    <t>3-Bedroom House - Standard</t>
  </si>
  <si>
    <t>Security Lights</t>
  </si>
  <si>
    <t>3-Bedroom House - Comfort</t>
  </si>
  <si>
    <t>4-Bedroom Duplex - Essential</t>
  </si>
  <si>
    <t>4-Bedroom Duplex - Standard</t>
  </si>
  <si>
    <t>Small Kitchen Appliances</t>
  </si>
  <si>
    <t>4-Bedroom Duplex - Comfort</t>
  </si>
  <si>
    <t>AC 1.5HP</t>
  </si>
  <si>
    <t>5-Bedroom Duplex / Large Home - Standard</t>
  </si>
  <si>
    <t>5-Bedroom Duplex / Large Home - Premium</t>
  </si>
  <si>
    <t>Premium</t>
  </si>
  <si>
    <t>Mini Estate / Shared Services</t>
  </si>
  <si>
    <t>Common Area</t>
  </si>
  <si>
    <t>External LED Lights</t>
  </si>
  <si>
    <t>Gatehouse Lights</t>
  </si>
  <si>
    <t>CCTV System</t>
  </si>
  <si>
    <t>Gatehouse Fan</t>
  </si>
  <si>
    <t>Gatehouse TV</t>
  </si>
  <si>
    <t>Network Router</t>
  </si>
  <si>
    <t>Booster Pump</t>
  </si>
  <si>
    <t>Shared Small Fridge</t>
  </si>
  <si>
    <t>Short-let Apartment - Standard</t>
  </si>
  <si>
    <t>Water Pump Share</t>
  </si>
  <si>
    <t>Guest House - 6 Rooms</t>
  </si>
  <si>
    <t>Small</t>
  </si>
  <si>
    <t>Room Lights</t>
  </si>
  <si>
    <t>Corridor/External Lights</t>
  </si>
  <si>
    <t>Room TVs</t>
  </si>
  <si>
    <t>Room Fans</t>
  </si>
  <si>
    <t>Reception PC/POS</t>
  </si>
  <si>
    <t>WiFi/Network</t>
  </si>
  <si>
    <t>CCTV</t>
  </si>
  <si>
    <t>Kitchen Freezer</t>
  </si>
  <si>
    <t>Small Hotel - 12 Rooms Partial Backup</t>
  </si>
  <si>
    <t>Common Area Lights</t>
  </si>
  <si>
    <t>Selected AC 1HP</t>
  </si>
  <si>
    <t>Reception/Office Load</t>
  </si>
  <si>
    <t>WiFi/CCTV</t>
  </si>
  <si>
    <t>Kitchen Refrigeration</t>
  </si>
  <si>
    <t>Laundry Allowance</t>
  </si>
  <si>
    <t>Medium Hotel - 25 Rooms Critical Loads</t>
  </si>
  <si>
    <t>Medium</t>
  </si>
  <si>
    <t>Selected Room AC</t>
  </si>
  <si>
    <t>Reception/Office</t>
  </si>
  <si>
    <t>WiFi/CCTV/Access Control</t>
  </si>
  <si>
    <t>Kitchen Equipment Allowance</t>
  </si>
  <si>
    <t>Laundry Equipment Allowance</t>
  </si>
  <si>
    <t>Lounge / Bar</t>
  </si>
  <si>
    <t>Hospitality</t>
  </si>
  <si>
    <t>Bar Lights</t>
  </si>
  <si>
    <t>TV Screens</t>
  </si>
  <si>
    <t>Beverage Coolers</t>
  </si>
  <si>
    <t>Ice Maker</t>
  </si>
  <si>
    <t>AC 2HP</t>
  </si>
  <si>
    <t>POS/Router</t>
  </si>
  <si>
    <t>Small Shop / Retail Kiosk</t>
  </si>
  <si>
    <t>Basic</t>
  </si>
  <si>
    <t>LED Lights</t>
  </si>
  <si>
    <t>Standing Fan</t>
  </si>
  <si>
    <t>POS Machine</t>
  </si>
  <si>
    <t>Phone Charging/Small Load</t>
  </si>
  <si>
    <t>Display Light/Signage</t>
  </si>
  <si>
    <t>Pharmacy</t>
  </si>
  <si>
    <t>SME</t>
  </si>
  <si>
    <t>POS/Computer</t>
  </si>
  <si>
    <t>Medicine Refrigerator</t>
  </si>
  <si>
    <t>Supermarket / Grocery</t>
  </si>
  <si>
    <t>POS/Computers</t>
  </si>
  <si>
    <t>Display Fridges</t>
  </si>
  <si>
    <t>Chest Freezers</t>
  </si>
  <si>
    <t>Salon / Barbershop</t>
  </si>
  <si>
    <t>Clippers</t>
  </si>
  <si>
    <t>Hair Dryers</t>
  </si>
  <si>
    <t>Sterilizer</t>
  </si>
  <si>
    <t>TV/Sound</t>
  </si>
  <si>
    <t>Small Office</t>
  </si>
  <si>
    <t>Laptops</t>
  </si>
  <si>
    <t>Desktop PCs</t>
  </si>
  <si>
    <t>Printer</t>
  </si>
  <si>
    <t>Router/Network</t>
  </si>
  <si>
    <t>Restaurant / Cafe</t>
  </si>
  <si>
    <t>Food Service</t>
  </si>
  <si>
    <t>Dining Lights</t>
  </si>
  <si>
    <t>Kitchen Lights</t>
  </si>
  <si>
    <t>Display Fridge</t>
  </si>
  <si>
    <t>Chest Freezer</t>
  </si>
  <si>
    <t>Exhaust Fan</t>
  </si>
  <si>
    <t>Blender/Mixer</t>
  </si>
  <si>
    <t>Bakery</t>
  </si>
  <si>
    <t>Food Production</t>
  </si>
  <si>
    <t>Mixer</t>
  </si>
  <si>
    <t>Production</t>
  </si>
  <si>
    <t>Proofing Cabinet</t>
  </si>
  <si>
    <t>Small Electric Oven</t>
  </si>
  <si>
    <t>Fuel Station Retail / Office</t>
  </si>
  <si>
    <t>Retail</t>
  </si>
  <si>
    <t>Canopy/Shop Lights</t>
  </si>
  <si>
    <t>Office PCs/POS</t>
  </si>
  <si>
    <t>Retail Fridges</t>
  </si>
  <si>
    <t>Pump Control/Small Loads</t>
  </si>
  <si>
    <t>Bank / ATM Lobby</t>
  </si>
  <si>
    <t>Critical</t>
  </si>
  <si>
    <t>Lobby Lights</t>
  </si>
  <si>
    <t>ATM Machines</t>
  </si>
  <si>
    <t>CCTV/Security</t>
  </si>
  <si>
    <t>Network/Router</t>
  </si>
  <si>
    <t>Storage</t>
  </si>
  <si>
    <t>High Bay LED Lights</t>
  </si>
  <si>
    <t>Office Lights</t>
  </si>
  <si>
    <t>Office ICT</t>
  </si>
  <si>
    <t>Ventilation Fans</t>
  </si>
  <si>
    <t>Roller Door/Motor Allowance</t>
  </si>
  <si>
    <t>Cold Room / Frozen Storage</t>
  </si>
  <si>
    <t>Cold Chain</t>
  </si>
  <si>
    <t>Cold Room Compressor</t>
  </si>
  <si>
    <t>Evaporator Fans</t>
  </si>
  <si>
    <t>Cold Room Lights</t>
  </si>
  <si>
    <t>Office/Controls</t>
  </si>
  <si>
    <t>Light Factory / Small Production</t>
  </si>
  <si>
    <t>Production Lights</t>
  </si>
  <si>
    <t>Small Motors</t>
  </si>
  <si>
    <t>Compressor</t>
  </si>
  <si>
    <t>CCTV/Router</t>
  </si>
  <si>
    <t>Welding Workshop</t>
  </si>
  <si>
    <t>Workshop</t>
  </si>
  <si>
    <t>Workshop Lights</t>
  </si>
  <si>
    <t>Grinders/Tools</t>
  </si>
  <si>
    <t>Welding Machine</t>
  </si>
  <si>
    <t>Office Load</t>
  </si>
  <si>
    <t>Poultry Farm</t>
  </si>
  <si>
    <t>Agriculture</t>
  </si>
  <si>
    <t>Brooder/House Lights</t>
  </si>
  <si>
    <t>Feed Equipment Allowance</t>
  </si>
  <si>
    <t>Office/Router</t>
  </si>
  <si>
    <t>Irrigation Pumping</t>
  </si>
  <si>
    <t>Irrigation Pump</t>
  </si>
  <si>
    <t>Control Panel</t>
  </si>
  <si>
    <t>Site Office Load</t>
  </si>
  <si>
    <t>Agro-Processing / Milling</t>
  </si>
  <si>
    <t>Processing Lights</t>
  </si>
  <si>
    <t>Milling Machine</t>
  </si>
  <si>
    <t>Packaging Sealer</t>
  </si>
  <si>
    <t>Printing / Small Manufacturing</t>
  </si>
  <si>
    <t>Digital Printer</t>
  </si>
  <si>
    <t>Laminator/Cutter</t>
  </si>
  <si>
    <t>Computers</t>
  </si>
  <si>
    <t>Small Clinic</t>
  </si>
  <si>
    <t>Clinic</t>
  </si>
  <si>
    <t>Consultation Room Fans</t>
  </si>
  <si>
    <t>Computers/Printer</t>
  </si>
  <si>
    <t>Vaccine/Medical Refrigerator</t>
  </si>
  <si>
    <t>Patient Monitor Allowance</t>
  </si>
  <si>
    <t>Diagnostic Lab</t>
  </si>
  <si>
    <t>Diagnostics</t>
  </si>
  <si>
    <t>Lab Lights</t>
  </si>
  <si>
    <t>Lab Refrigerator</t>
  </si>
  <si>
    <t>Centrifuge</t>
  </si>
  <si>
    <t>Microscope/Analyser Allowance</t>
  </si>
  <si>
    <t>UPS/Network</t>
  </si>
  <si>
    <t>Maternity Clinic</t>
  </si>
  <si>
    <t>Ward/Room Lights</t>
  </si>
  <si>
    <t>Medical Refrigerator</t>
  </si>
  <si>
    <t>Delivery Room Equipment Allowance</t>
  </si>
  <si>
    <t>Patient Monitors</t>
  </si>
  <si>
    <t>Small Hospital - Critical Loads</t>
  </si>
  <si>
    <t>Theatre/Procedure Lights Allowance</t>
  </si>
  <si>
    <t>Selected AC</t>
  </si>
  <si>
    <t>Medical Refrigerators</t>
  </si>
  <si>
    <t>Lab/Diagnostic Allowance</t>
  </si>
  <si>
    <t>Computers/Network</t>
  </si>
  <si>
    <t>Dental Clinic</t>
  </si>
  <si>
    <t>Dental Chair</t>
  </si>
  <si>
    <t>Router/CCTV</t>
  </si>
  <si>
    <t>Nursery / Primary School</t>
  </si>
  <si>
    <t>Classroom Lights</t>
  </si>
  <si>
    <t>Classroom Fans</t>
  </si>
  <si>
    <t>Office Computers</t>
  </si>
  <si>
    <t>Printer/Photocopier</t>
  </si>
  <si>
    <t>Secondary School</t>
  </si>
  <si>
    <t>Admin Office ICT</t>
  </si>
  <si>
    <t>Printers/Photocopiers</t>
  </si>
  <si>
    <t>Lab Equipment Allowance</t>
  </si>
  <si>
    <t>Computer Lab / Training Centre</t>
  </si>
  <si>
    <t>Desktop Computers</t>
  </si>
  <si>
    <t>Server/Network</t>
  </si>
  <si>
    <t>Projector/Display</t>
  </si>
  <si>
    <t>Training Centre / Office</t>
  </si>
  <si>
    <t>Institution</t>
  </si>
  <si>
    <t>Training Room Lights</t>
  </si>
  <si>
    <t>Projector/TV</t>
  </si>
  <si>
    <t>Church / Mosque / Event Hall</t>
  </si>
  <si>
    <t>Hall Lights</t>
  </si>
  <si>
    <t>Stage/External Lights</t>
  </si>
  <si>
    <t>Projector/Screens</t>
  </si>
  <si>
    <t>Boarding School Common Services</t>
  </si>
  <si>
    <t>Dormitory Lights</t>
  </si>
  <si>
    <t>Kitchen Freezers</t>
  </si>
  <si>
    <t>Admin ICT</t>
  </si>
  <si>
    <t>Critical by Default?</t>
  </si>
  <si>
    <t>LED bulb</t>
  </si>
  <si>
    <t>Lighting usually continuous when switched on</t>
  </si>
  <si>
    <t>Ceiling/standing fan</t>
  </si>
  <si>
    <t>TV</t>
  </si>
  <si>
    <t>Internet is often critical for remote work</t>
  </si>
  <si>
    <t>Compressor duty cycle varies</t>
  </si>
  <si>
    <t>Deep freezer</t>
  </si>
  <si>
    <t>Higher compressor surge</t>
  </si>
  <si>
    <t>Use inverter/non-inverter distinction later</t>
  </si>
  <si>
    <t>High impact on battery sizing</t>
  </si>
  <si>
    <t>Water pump</t>
  </si>
  <si>
    <t>Large surge; use short hours</t>
  </si>
  <si>
    <t>Display fridge</t>
  </si>
  <si>
    <t>Commercial refrigeration</t>
  </si>
  <si>
    <t>Medical refrigerator</t>
  </si>
  <si>
    <t>Critical healthcare load</t>
  </si>
  <si>
    <t>Computer / POS</t>
  </si>
  <si>
    <t>Commercial ICT</t>
  </si>
  <si>
    <t>CCTV system</t>
  </si>
  <si>
    <t>Security load</t>
  </si>
  <si>
    <t>Small motor</t>
  </si>
  <si>
    <t>Depends</t>
  </si>
  <si>
    <t>Factory loads need review</t>
  </si>
  <si>
    <t>High surge and duty variation</t>
  </si>
  <si>
    <t xml:space="preserve">Wattage </t>
  </si>
  <si>
    <t xml:space="preserve">Equipment </t>
  </si>
  <si>
    <t>PV (₦/kWp)</t>
  </si>
  <si>
    <t>Battery (₦/kWh)</t>
  </si>
  <si>
    <t>Inverter (₦/kW)</t>
  </si>
  <si>
    <t>BOS (%)</t>
  </si>
  <si>
    <t>O&amp;M (%)</t>
  </si>
  <si>
    <t>Capex_per_kWp_kWh_kW</t>
  </si>
  <si>
    <t>₦330,000</t>
  </si>
  <si>
    <t>₦265,000</t>
  </si>
  <si>
    <t>₦235,000</t>
  </si>
  <si>
    <t>₦280,000</t>
  </si>
  <si>
    <t>₦215,000</t>
  </si>
  <si>
    <t>₦220,000</t>
  </si>
  <si>
    <t>₦205,000</t>
  </si>
  <si>
    <t>₦260,000</t>
  </si>
  <si>
    <t>₦240,000</t>
  </si>
  <si>
    <t>₦225,000</t>
  </si>
  <si>
    <t>₦290,000</t>
  </si>
  <si>
    <t>₦250,000</t>
  </si>
  <si>
    <t>₦200,000</t>
  </si>
  <si>
    <t>₦175,000</t>
  </si>
  <si>
    <t xml:space="preserve"> Category</t>
  </si>
  <si>
    <t>Installer ID</t>
  </si>
  <si>
    <t>Installer Name</t>
  </si>
  <si>
    <t>Contact Person</t>
  </si>
  <si>
    <t>Phone</t>
  </si>
  <si>
    <t>Email</t>
  </si>
  <si>
    <t>State Coverage</t>
  </si>
  <si>
    <t>City Coverage</t>
  </si>
  <si>
    <t>Categories Covered</t>
  </si>
  <si>
    <t>Min kVA</t>
  </si>
  <si>
    <t>Max kVA</t>
  </si>
  <si>
    <t>Battery/Hybrid Exp</t>
  </si>
  <si>
    <t>Generator Integration</t>
  </si>
  <si>
    <t>Commercial Exp</t>
  </si>
  <si>
    <t>Industrial Exp</t>
  </si>
  <si>
    <t>Hospital/Critical Exp</t>
  </si>
  <si>
    <t>Years Exp</t>
  </si>
  <si>
    <t>Past Projects</t>
  </si>
  <si>
    <t>Brands Used</t>
  </si>
  <si>
    <t>Warranty Support</t>
  </si>
  <si>
    <t>Response Speed</t>
  </si>
  <si>
    <t>Pricing Level</t>
  </si>
  <si>
    <t>Quality Rating</t>
  </si>
  <si>
    <t>Reliability Rating</t>
  </si>
  <si>
    <t>Client Feedback</t>
  </si>
  <si>
    <t>Approval Status</t>
  </si>
  <si>
    <t>INST-001</t>
  </si>
  <si>
    <t>Lagos Hybrid Power Ltd</t>
  </si>
  <si>
    <t>Tunde Ade</t>
  </si>
  <si>
    <t>08000000001</t>
  </si>
  <si>
    <t>ops@lagoshybrid.example</t>
  </si>
  <si>
    <t>Lekki; Ajah; VI; Ikoyi; Ikeja</t>
  </si>
  <si>
    <t>Home; Commercial; Hotel</t>
  </si>
  <si>
    <t>Strong</t>
  </si>
  <si>
    <t>Victron; Deye; Felicity; JA Solar</t>
  </si>
  <si>
    <t>Same day</t>
  </si>
  <si>
    <t>Mid-range</t>
  </si>
  <si>
    <t>Good</t>
  </si>
  <si>
    <t>Excellent</t>
  </si>
  <si>
    <t>Preferred</t>
  </si>
  <si>
    <t>Strong residential and SME hybrid delivery.</t>
  </si>
  <si>
    <t>INST-002</t>
  </si>
  <si>
    <t>Abuja SolarCare Engineering</t>
  </si>
  <si>
    <t>Amina Bello</t>
  </si>
  <si>
    <t>08000000002</t>
  </si>
  <si>
    <t>info@abujasolarcare.example</t>
  </si>
  <si>
    <t>Abuja FCT</t>
  </si>
  <si>
    <t>Abuja</t>
  </si>
  <si>
    <t>Home; Hospital; School; Commercial</t>
  </si>
  <si>
    <t>SMA; Deye; Pylontech; Jinko</t>
  </si>
  <si>
    <t>24-48 hours</t>
  </si>
  <si>
    <t>Approved</t>
  </si>
  <si>
    <t>Good for critical backup and Abuja projects.</t>
  </si>
  <si>
    <t>INST-003</t>
  </si>
  <si>
    <t>Ogun Industrial Energy Works</t>
  </si>
  <si>
    <t>Segun Cole</t>
  </si>
  <si>
    <t>08000000003</t>
  </si>
  <si>
    <t>projects@ogunenergy.example</t>
  </si>
  <si>
    <t>Ogun; Lagos</t>
  </si>
  <si>
    <t>Abeokuta; Sagamu; Ikeja</t>
  </si>
  <si>
    <t>Factory; Commercial; School</t>
  </si>
  <si>
    <t>Moderate</t>
  </si>
  <si>
    <t>Huawei; Deye; Longi; BYD</t>
  </si>
  <si>
    <t>2-3 days</t>
  </si>
  <si>
    <t>Acceptable</t>
  </si>
  <si>
    <t>Good for warehouses and light factory loads.</t>
  </si>
  <si>
    <t>INST-004</t>
  </si>
  <si>
    <t>Rivers Reliable Solar</t>
  </si>
  <si>
    <t>Ima Peters</t>
  </si>
  <si>
    <t>08000000004</t>
  </si>
  <si>
    <t>hello@riversreliable.example</t>
  </si>
  <si>
    <t>Rivers; Akwa Ibom</t>
  </si>
  <si>
    <t>Port Harcourt; Uyo</t>
  </si>
  <si>
    <t>Home; Hotel; Commercial; Hospital</t>
  </si>
  <si>
    <t>Deye; Must; Canadian Solar</t>
  </si>
  <si>
    <t>Useful for Port Harcourt hotel/clinic projects.</t>
  </si>
  <si>
    <t>INST-005</t>
  </si>
  <si>
    <t>Budget Solar Installers NG</t>
  </si>
  <si>
    <t>John Okoro</t>
  </si>
  <si>
    <t>08000000005</t>
  </si>
  <si>
    <t>sales@budgetsolar.example</t>
  </si>
  <si>
    <t>Surulere; Yaba; Ikeja</t>
  </si>
  <si>
    <t>Home; Commercial</t>
  </si>
  <si>
    <t>Some</t>
  </si>
  <si>
    <t>Growatt; Felicity; Trina</t>
  </si>
  <si>
    <t>Budget</t>
  </si>
  <si>
    <t>Average</t>
  </si>
  <si>
    <t>Best for small simple systems only.</t>
  </si>
  <si>
    <t>INST-006</t>
  </si>
  <si>
    <t>Prime Critical Power Systems</t>
  </si>
  <si>
    <t>Fatima Usman</t>
  </si>
  <si>
    <t>08000000006</t>
  </si>
  <si>
    <t>support@primecritical.example</t>
  </si>
  <si>
    <t>Abuja FCT; Kano; Kaduna</t>
  </si>
  <si>
    <t>Abuja; Kano; Kaduna</t>
  </si>
  <si>
    <t>Hospital; Factory; School; Commercial</t>
  </si>
  <si>
    <t>SMA; Schneider; Huawei; CATL</t>
  </si>
  <si>
    <t>High capability for hospitals and larger sites.</t>
  </si>
  <si>
    <t>INST-007</t>
  </si>
  <si>
    <t>INST-008</t>
  </si>
  <si>
    <t>INST-009</t>
  </si>
  <si>
    <t>INST-010</t>
  </si>
  <si>
    <t>INST-011</t>
  </si>
  <si>
    <t>INST-012</t>
  </si>
  <si>
    <t>INST-013</t>
  </si>
  <si>
    <t>INST-014</t>
  </si>
  <si>
    <t>INST-015</t>
  </si>
  <si>
    <t>INST-016</t>
  </si>
  <si>
    <t>INST-017</t>
  </si>
  <si>
    <t>INST-018</t>
  </si>
  <si>
    <t>INST-019</t>
  </si>
  <si>
    <t>INST-020</t>
  </si>
  <si>
    <t>INST-021</t>
  </si>
  <si>
    <t>INST-022</t>
  </si>
  <si>
    <t>INST-023</t>
  </si>
  <si>
    <t>INST-024</t>
  </si>
  <si>
    <t>INST-025</t>
  </si>
  <si>
    <t>INST-026</t>
  </si>
  <si>
    <t>INST-027</t>
  </si>
  <si>
    <t>INST-028</t>
  </si>
  <si>
    <t>INST-029</t>
  </si>
  <si>
    <t>INST-030</t>
  </si>
  <si>
    <t>INST-031</t>
  </si>
  <si>
    <t>INST-032</t>
  </si>
  <si>
    <t>INST-033</t>
  </si>
  <si>
    <t>INST-034</t>
  </si>
  <si>
    <t>INST-035</t>
  </si>
  <si>
    <t>INST-036</t>
  </si>
  <si>
    <t>INST-037</t>
  </si>
  <si>
    <t>INST-038</t>
  </si>
  <si>
    <t>INST-039</t>
  </si>
  <si>
    <t>INST-040</t>
  </si>
  <si>
    <t>INST-041</t>
  </si>
  <si>
    <t>INST-042</t>
  </si>
  <si>
    <t>INST-043</t>
  </si>
  <si>
    <t>INST-044</t>
  </si>
  <si>
    <t>INST-045</t>
  </si>
  <si>
    <t>INST-046</t>
  </si>
  <si>
    <t>INST-047</t>
  </si>
  <si>
    <t>INST-048</t>
  </si>
  <si>
    <t>INST-049</t>
  </si>
  <si>
    <t>INST-050</t>
  </si>
  <si>
    <t>INST-051</t>
  </si>
  <si>
    <t>INST-052</t>
  </si>
  <si>
    <t>INST-053</t>
  </si>
  <si>
    <t>INST-054</t>
  </si>
  <si>
    <t>INST-055</t>
  </si>
  <si>
    <t>INST-056</t>
  </si>
  <si>
    <t>INST-057</t>
  </si>
  <si>
    <t>INST-058</t>
  </si>
  <si>
    <t>INST-059</t>
  </si>
  <si>
    <t>INST-060</t>
  </si>
  <si>
    <t>INST-061</t>
  </si>
  <si>
    <t>INST-062</t>
  </si>
  <si>
    <t>INST-063</t>
  </si>
  <si>
    <t>INST-064</t>
  </si>
  <si>
    <t>INST-065</t>
  </si>
  <si>
    <t>INST-066</t>
  </si>
  <si>
    <t>INST-067</t>
  </si>
  <si>
    <t>INST-068</t>
  </si>
  <si>
    <t>INST-069</t>
  </si>
  <si>
    <t>INST-070</t>
  </si>
  <si>
    <t>INST-071</t>
  </si>
  <si>
    <t>INST-072</t>
  </si>
  <si>
    <t>INST-073</t>
  </si>
  <si>
    <t>INST-074</t>
  </si>
  <si>
    <t>INST-075</t>
  </si>
  <si>
    <t>INST-076</t>
  </si>
  <si>
    <t>INST-077</t>
  </si>
  <si>
    <t>INST-078</t>
  </si>
  <si>
    <t>INST-079</t>
  </si>
  <si>
    <t>INST-080</t>
  </si>
  <si>
    <t>INST-081</t>
  </si>
  <si>
    <t>INST-082</t>
  </si>
  <si>
    <t>INST-083</t>
  </si>
  <si>
    <t>INST-084</t>
  </si>
  <si>
    <t>INST-085</t>
  </si>
  <si>
    <t>INST-086</t>
  </si>
  <si>
    <t>INST-087</t>
  </si>
  <si>
    <t>INST-088</t>
  </si>
  <si>
    <t>INST-089</t>
  </si>
  <si>
    <t>INST-090</t>
  </si>
  <si>
    <t>INST-091</t>
  </si>
  <si>
    <t>INST-092</t>
  </si>
  <si>
    <t>INST-093</t>
  </si>
  <si>
    <t>INST-094</t>
  </si>
  <si>
    <t>INST-095</t>
  </si>
  <si>
    <t>INST-096</t>
  </si>
  <si>
    <t>INST-097</t>
  </si>
  <si>
    <t>INST-098</t>
  </si>
  <si>
    <t>INST-099</t>
  </si>
  <si>
    <t>INST-100</t>
  </si>
  <si>
    <t>Guidance / Example</t>
  </si>
  <si>
    <t>Backend use</t>
  </si>
  <si>
    <t>Customer ID</t>
  </si>
  <si>
    <t>Unique Solarvy lead reference</t>
  </si>
  <si>
    <t>Used across trackers</t>
  </si>
  <si>
    <t>Customer Name</t>
  </si>
  <si>
    <t>Optional before introduction</t>
  </si>
  <si>
    <t>CRM</t>
  </si>
  <si>
    <t>Phone / Email</t>
  </si>
  <si>
    <t>For introduction request only</t>
  </si>
  <si>
    <t>Home, Hotel, Commercial, Factory, Hospital, School</t>
  </si>
  <si>
    <t>Category scoring</t>
  </si>
  <si>
    <t>Template Used</t>
  </si>
  <si>
    <t>4 Bedroom Duplex - Standard</t>
  </si>
  <si>
    <t>Selected quick template</t>
  </si>
  <si>
    <t>Context</t>
  </si>
  <si>
    <t>State</t>
  </si>
  <si>
    <t>Customer state</t>
  </si>
  <si>
    <t>Location scoring</t>
  </si>
  <si>
    <t>City</t>
  </si>
  <si>
    <t>Customer city / area</t>
  </si>
  <si>
    <t>Budget Band</t>
  </si>
  <si>
    <t>Budget, Mid-range, Premium, Unknown</t>
  </si>
  <si>
    <t>Pricing fit</t>
  </si>
  <si>
    <t>Timeline</t>
  </si>
  <si>
    <t>Within 1 month</t>
  </si>
  <si>
    <t>Urgency helps prioritise</t>
  </si>
  <si>
    <t>Follow-up</t>
  </si>
  <si>
    <t>Backup Priority</t>
  </si>
  <si>
    <t>AC support</t>
  </si>
  <si>
    <t>Essential backup, AC support, whole facility, etc.</t>
  </si>
  <si>
    <t>Complexity</t>
  </si>
  <si>
    <t>Project Complexity</t>
  </si>
  <si>
    <t>Low, Medium, High, Critical</t>
  </si>
  <si>
    <t>Risk/technical matching</t>
  </si>
  <si>
    <t>Estimated Daily kWh</t>
  </si>
  <si>
    <t>From load template result</t>
  </si>
  <si>
    <t>System size scoring</t>
  </si>
  <si>
    <t>Result display</t>
  </si>
  <si>
    <t>Suggested Inverter</t>
  </si>
  <si>
    <t>Needs Site Visit</t>
  </si>
  <si>
    <t>Yes / No</t>
  </si>
  <si>
    <t>Next step</t>
  </si>
  <si>
    <t>Needs Quote Review</t>
  </si>
  <si>
    <t>Quote review CTA</t>
  </si>
  <si>
    <t>Internal Notes</t>
  </si>
  <si>
    <t>Customer wants AC support and generator reduction.</t>
  </si>
  <si>
    <t>Not shown to customer</t>
  </si>
  <si>
    <t>Internal</t>
  </si>
  <si>
    <t>Location Score</t>
  </si>
  <si>
    <t>Category Score</t>
  </si>
  <si>
    <t>Size Score</t>
  </si>
  <si>
    <t>Technical Quality Score</t>
  </si>
  <si>
    <t>Battery/Hybrid Score</t>
  </si>
  <si>
    <t>Reliability Score</t>
  </si>
  <si>
    <t>Warranty Score</t>
  </si>
  <si>
    <t>Response Score</t>
  </si>
  <si>
    <t>Pricing Score</t>
  </si>
  <si>
    <t>Total Raw Score</t>
  </si>
  <si>
    <t>Max Score</t>
  </si>
  <si>
    <t>Match %</t>
  </si>
  <si>
    <t>Match Tier</t>
  </si>
  <si>
    <t>Recommended?</t>
  </si>
  <si>
    <t>Customer-Facing Reason</t>
  </si>
  <si>
    <t>Result Rank</t>
  </si>
  <si>
    <t>Customer Result Field</t>
  </si>
  <si>
    <t>Display Text</t>
  </si>
  <si>
    <t>Template</t>
  </si>
  <si>
    <t>Location</t>
  </si>
  <si>
    <t>Estimated Daily Load</t>
  </si>
  <si>
    <t>Suggested Solar</t>
  </si>
  <si>
    <t>Suggested Battery</t>
  </si>
  <si>
    <t>Card #</t>
  </si>
  <si>
    <t>Best Suited For</t>
  </si>
  <si>
    <t>Coverage</t>
  </si>
  <si>
    <t>Strengths</t>
  </si>
  <si>
    <t>Pricing</t>
  </si>
  <si>
    <t>Response</t>
  </si>
  <si>
    <t>Primary CTA</t>
  </si>
  <si>
    <t>Secondary CTA</t>
  </si>
  <si>
    <t>Request Introduction</t>
  </si>
  <si>
    <t>Get Independent Review</t>
  </si>
  <si>
    <t>Request ID</t>
  </si>
  <si>
    <t>Date</t>
  </si>
  <si>
    <t>Status</t>
  </si>
  <si>
    <t>Next Action</t>
  </si>
  <si>
    <t>Owner</t>
  </si>
  <si>
    <t>INTRO-001</t>
  </si>
  <si>
    <t>New</t>
  </si>
  <si>
    <t>INTRO-002</t>
  </si>
  <si>
    <t>INTRO-003</t>
  </si>
  <si>
    <t>INTRO-004</t>
  </si>
  <si>
    <t>INTRO-005</t>
  </si>
  <si>
    <t>INTRO-006</t>
  </si>
  <si>
    <t>INTRO-007</t>
  </si>
  <si>
    <t>INTRO-008</t>
  </si>
  <si>
    <t>INTRO-009</t>
  </si>
  <si>
    <t>INTRO-010</t>
  </si>
  <si>
    <t>INTRO-011</t>
  </si>
  <si>
    <t>INTRO-012</t>
  </si>
  <si>
    <t>INTRO-013</t>
  </si>
  <si>
    <t>INTRO-014</t>
  </si>
  <si>
    <t>INTRO-015</t>
  </si>
  <si>
    <t>INTRO-016</t>
  </si>
  <si>
    <t>INTRO-017</t>
  </si>
  <si>
    <t>INTRO-018</t>
  </si>
  <si>
    <t>INTRO-019</t>
  </si>
  <si>
    <t>INTRO-020</t>
  </si>
  <si>
    <t>INTRO-021</t>
  </si>
  <si>
    <t>INTRO-022</t>
  </si>
  <si>
    <t>INTRO-023</t>
  </si>
  <si>
    <t>INTRO-024</t>
  </si>
  <si>
    <t>INTRO-025</t>
  </si>
  <si>
    <t>INTRO-026</t>
  </si>
  <si>
    <t>INTRO-027</t>
  </si>
  <si>
    <t>INTRO-028</t>
  </si>
  <si>
    <t>INTRO-029</t>
  </si>
  <si>
    <t>INTRO-030</t>
  </si>
  <si>
    <t>INTRO-031</t>
  </si>
  <si>
    <t>INTRO-032</t>
  </si>
  <si>
    <t>INTRO-033</t>
  </si>
  <si>
    <t>INTRO-034</t>
  </si>
  <si>
    <t>INTRO-035</t>
  </si>
  <si>
    <t>INTRO-036</t>
  </si>
  <si>
    <t>INTRO-037</t>
  </si>
  <si>
    <t>INTRO-038</t>
  </si>
  <si>
    <t>INTRO-039</t>
  </si>
  <si>
    <t>INTRO-040</t>
  </si>
  <si>
    <t>INTRO-041</t>
  </si>
  <si>
    <t>INTRO-042</t>
  </si>
  <si>
    <t>INTRO-043</t>
  </si>
  <si>
    <t>INTRO-044</t>
  </si>
  <si>
    <t>INTRO-045</t>
  </si>
  <si>
    <t>INTRO-046</t>
  </si>
  <si>
    <t>INTRO-047</t>
  </si>
  <si>
    <t>INTRO-048</t>
  </si>
  <si>
    <t>INTRO-049</t>
  </si>
  <si>
    <t>INTRO-050</t>
  </si>
  <si>
    <t>Review ID</t>
  </si>
  <si>
    <t>Quote Source Installer</t>
  </si>
  <si>
    <t>Quoted Solar kWp</t>
  </si>
  <si>
    <t>Quoted Battery kWh</t>
  </si>
  <si>
    <t>Quoted Inverter kVA</t>
  </si>
  <si>
    <t>Quoted Price</t>
  </si>
  <si>
    <t>Review Status</t>
  </si>
  <si>
    <t>Risk Level</t>
  </si>
  <si>
    <t>Recommendation</t>
  </si>
  <si>
    <t>QR-001</t>
  </si>
  <si>
    <t>QR-002</t>
  </si>
  <si>
    <t>QR-003</t>
  </si>
  <si>
    <t>QR-004</t>
  </si>
  <si>
    <t>QR-005</t>
  </si>
  <si>
    <t>QR-006</t>
  </si>
  <si>
    <t>QR-007</t>
  </si>
  <si>
    <t>QR-008</t>
  </si>
  <si>
    <t>QR-009</t>
  </si>
  <si>
    <t>QR-010</t>
  </si>
  <si>
    <t>QR-011</t>
  </si>
  <si>
    <t>QR-012</t>
  </si>
  <si>
    <t>QR-013</t>
  </si>
  <si>
    <t>QR-014</t>
  </si>
  <si>
    <t>QR-015</t>
  </si>
  <si>
    <t>QR-016</t>
  </si>
  <si>
    <t>QR-017</t>
  </si>
  <si>
    <t>QR-018</t>
  </si>
  <si>
    <t>QR-019</t>
  </si>
  <si>
    <t>QR-020</t>
  </si>
  <si>
    <t>QR-021</t>
  </si>
  <si>
    <t>QR-022</t>
  </si>
  <si>
    <t>QR-023</t>
  </si>
  <si>
    <t>QR-024</t>
  </si>
  <si>
    <t>QR-025</t>
  </si>
  <si>
    <t>QR-026</t>
  </si>
  <si>
    <t>QR-027</t>
  </si>
  <si>
    <t>QR-028</t>
  </si>
  <si>
    <t>QR-029</t>
  </si>
  <si>
    <t>QR-030</t>
  </si>
  <si>
    <t>QR-031</t>
  </si>
  <si>
    <t>QR-032</t>
  </si>
  <si>
    <t>QR-033</t>
  </si>
  <si>
    <t>QR-034</t>
  </si>
  <si>
    <t>QR-035</t>
  </si>
  <si>
    <t>QR-036</t>
  </si>
  <si>
    <t>QR-037</t>
  </si>
  <si>
    <t>QR-038</t>
  </si>
  <si>
    <t>QR-039</t>
  </si>
  <si>
    <t>QR-040</t>
  </si>
  <si>
    <t>QR-041</t>
  </si>
  <si>
    <t>QR-042</t>
  </si>
  <si>
    <t>QR-043</t>
  </si>
  <si>
    <t>QR-044</t>
  </si>
  <si>
    <t>QR-045</t>
  </si>
  <si>
    <t>QR-046</t>
  </si>
  <si>
    <t>QR-047</t>
  </si>
  <si>
    <t>QR-048</t>
  </si>
  <si>
    <t>QR-049</t>
  </si>
  <si>
    <t>QR-050</t>
  </si>
  <si>
    <t>Suggested Solar Size_kWp</t>
  </si>
  <si>
    <t>Suggested Battery Size_kWh</t>
  </si>
  <si>
    <t>Suggested Inverter_kVA</t>
  </si>
  <si>
    <t>John Peters</t>
  </si>
  <si>
    <t>jpeters234@gmail.com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</si>
  <si>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</si>
  <si>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</si>
  <si>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</si>
  <si>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</si>
  <si>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</si>
  <si>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</si>
  <si>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</si>
  <si>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</si>
  <si>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</si>
  <si>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</si>
  <si>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</si>
  <si>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</si>
  <si>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</si>
  <si>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</si>
  <si>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</si>
  <si>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</si>
  <si>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</si>
  <si>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</si>
  <si>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</si>
  <si>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</si>
  <si>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</si>
  <si>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</si>
  <si>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</si>
  <si>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</si>
  <si>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</si>
  <si>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</si>
  <si>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</si>
  <si>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</si>
  <si>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</si>
  <si>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</si>
  <si>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</si>
  <si>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</si>
  <si>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</si>
  <si>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</si>
  <si>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</si>
  <si>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FCT Abuja</t>
  </si>
  <si>
    <t>Ibadan</t>
  </si>
  <si>
    <t>Port Harcourt</t>
  </si>
  <si>
    <t>Benin City</t>
  </si>
  <si>
    <t>Maiduguri</t>
  </si>
  <si>
    <t>Zaria</t>
  </si>
  <si>
    <t>Aba</t>
  </si>
  <si>
    <t>Onitsha</t>
  </si>
  <si>
    <t>Owerri</t>
  </si>
  <si>
    <t>Abeokuta</t>
  </si>
  <si>
    <t>Jos</t>
  </si>
  <si>
    <t>Warri</t>
  </si>
  <si>
    <t>Ilorin</t>
  </si>
  <si>
    <t>Uyo</t>
  </si>
  <si>
    <t>Calabar</t>
  </si>
  <si>
    <t>Osogbo</t>
  </si>
  <si>
    <t>Akure</t>
  </si>
  <si>
    <t>Minna</t>
  </si>
  <si>
    <t>Makurdi</t>
  </si>
  <si>
    <t>Yola</t>
  </si>
  <si>
    <t>Jalingo</t>
  </si>
  <si>
    <t>Damaturu</t>
  </si>
  <si>
    <t>Dutse</t>
  </si>
  <si>
    <t>Gusau</t>
  </si>
  <si>
    <t>Birnin Kebbi</t>
  </si>
  <si>
    <t>Lokoja</t>
  </si>
  <si>
    <t>Asaba</t>
  </si>
  <si>
    <t>Awka</t>
  </si>
  <si>
    <t>Ado-Ekiti</t>
  </si>
  <si>
    <t>Yenagoa</t>
  </si>
  <si>
    <t>Home_Templates</t>
  </si>
  <si>
    <t>Hotel_Templates</t>
  </si>
  <si>
    <t>Commercial Building_Templates</t>
  </si>
  <si>
    <t>Factory_Templates</t>
  </si>
  <si>
    <t>Hospital_Templates</t>
  </si>
  <si>
    <t>School_Templates</t>
  </si>
  <si>
    <t>Templates</t>
  </si>
  <si>
    <t>Usage Profile</t>
  </si>
  <si>
    <t>Studio / Self-contained</t>
  </si>
  <si>
    <t>1-Bedroom Flat</t>
  </si>
  <si>
    <t>2-Bedroom Flat</t>
  </si>
  <si>
    <t>3-Bedroom House</t>
  </si>
  <si>
    <t>4-Bedroom Duplex</t>
  </si>
  <si>
    <t>5-Bedroom Duplex / Large Home</t>
  </si>
  <si>
    <t>Recommended Solar PV</t>
  </si>
  <si>
    <t>Recommended Battery</t>
  </si>
  <si>
    <t>kWp</t>
  </si>
  <si>
    <t>kWh</t>
  </si>
  <si>
    <t>Recommended Inverter</t>
  </si>
  <si>
    <t>kW</t>
  </si>
  <si>
    <t>Estimated system cost</t>
  </si>
  <si>
    <t>Gross annual savings</t>
  </si>
  <si>
    <t>years</t>
  </si>
  <si>
    <t>Annual O&amp;M allowance</t>
  </si>
  <si>
    <t>Net annual savings</t>
  </si>
  <si>
    <t>Litres</t>
  </si>
  <si>
    <t>Diesel Saved</t>
  </si>
  <si>
    <t>Grid Availability (%)</t>
  </si>
  <si>
    <t>Solar share</t>
  </si>
  <si>
    <t>Grid offset</t>
  </si>
  <si>
    <t>Diesel reduction</t>
  </si>
  <si>
    <t>Grid + Generator</t>
  </si>
  <si>
    <t>Reduce Diesel Use</t>
  </si>
  <si>
    <t>Backup Duration Required</t>
  </si>
  <si>
    <t>Main Objective</t>
  </si>
  <si>
    <t>Current Power Setup</t>
  </si>
  <si>
    <t>Building Information</t>
  </si>
  <si>
    <t>Choose Input Method</t>
  </si>
  <si>
    <t>Roof Area</t>
  </si>
  <si>
    <t>Outage Hours per Day</t>
  </si>
  <si>
    <t>Average Monthly Electricity Spend</t>
  </si>
  <si>
    <t>Monthly Electricity Usage</t>
  </si>
  <si>
    <t>Band A = N209.50/kWh</t>
  </si>
  <si>
    <t>Band B = N63.00/kWh</t>
  </si>
  <si>
    <t>Band C = N50.00/kWh</t>
  </si>
  <si>
    <t>Band D = N43.00/kWh</t>
  </si>
  <si>
    <t>Band E = N40.00/kWh</t>
  </si>
  <si>
    <t>System Class</t>
  </si>
  <si>
    <t>Outputs in green tab</t>
  </si>
  <si>
    <t>Inputs in blue tab</t>
  </si>
  <si>
    <t xml:space="preserve">Estimated Annual Load </t>
  </si>
  <si>
    <t>Estimated Monthly spend</t>
  </si>
  <si>
    <t>Monthly Usage</t>
  </si>
  <si>
    <t>Estimated Monthly Spend</t>
  </si>
  <si>
    <t>Bill selection</t>
  </si>
  <si>
    <t>Appliance selection</t>
  </si>
  <si>
    <t>Daily Energy</t>
  </si>
  <si>
    <t>Monthly Energy</t>
  </si>
  <si>
    <t>Estimated Annual Load</t>
  </si>
  <si>
    <t xml:space="preserve">Custom selection </t>
  </si>
  <si>
    <t>Appliances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</si>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</sst>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0.0%"/>
    <numFmt numFmtId="167" formatCode="\₦#,##0.0;[Red]\(\₦#,##0.0\);\-"/>
    <numFmt numFmtId="168" formatCode="\₦#,##0;[Red]\(\₦#,##0\);\-"/>
    <numFmt numFmtId="169" formatCode="0.0\x"/>
  </numFmts>
  <fonts count="2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800080"/>
      <name val="Calibri"/>
    </font>
    <font>
      <sz val="11"/>
      <color rgb="FF000000"/>
      <name val="Calibri"/>
    </font>
    <font>
      <sz val="11"/>
      <color rgb="FF666666"/>
      <name val="Calibri"/>
    </font>
    <font>
      <b/>
      <sz val="11"/>
      <color rgb="FF008080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rgb="FF0000FF"/>
      <name val="Calibri"/>
      <family val="2"/>
      <scheme val="minor"/>
    </font>
    <font>
      <sz val="11"/>
      <color rgb="FF0066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0000FF"/>
      <name val="Calibri"/>
      <family val="2"/>
    </font>
    <font>
      <sz val="11"/>
      <color rgb="FF666666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3FF"/>
      </patternFill>
    </fill>
    <fill>
      <patternFill patternType="solid">
        <fgColor rgb="FFEFE7FF"/>
      </patternFill>
    </fill>
    <fill>
      <patternFill patternType="solid">
        <fgColor rgb="FFEEEEEE"/>
      </patternFill>
    </fill>
    <fill>
      <patternFill patternType="solid">
        <fgColor rgb="FFD9F0F0"/>
      </patternFill>
    </fill>
    <fill>
      <patternFill patternType="solid">
        <fgColor rgb="FF92D050"/>
        <bgColor indexed="64"/>
      </patternFill>
    </fill>
    <fill>
      <patternFill patternType="solid">
        <fgColor rgb="FF0B3D2E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B1F33"/>
      </patternFill>
    </fill>
    <fill>
      <patternFill patternType="solid">
        <fgColor rgb="FF0F766E"/>
      </patternFill>
    </fill>
    <fill>
      <patternFill patternType="solid">
        <fgColor theme="2"/>
        <bgColor indexed="64"/>
      </patternFill>
    </fill>
    <fill>
      <patternFill patternType="solid">
        <fgColor rgb="FFF7EAE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4" borderId="0" xfId="0" applyFont="1" applyFill="1"/>
    <xf numFmtId="164" fontId="3" fillId="4" borderId="0" xfId="0" applyNumberFormat="1" applyFont="1" applyFill="1"/>
    <xf numFmtId="165" fontId="3" fillId="4" borderId="0" xfId="0" applyNumberFormat="1" applyFont="1" applyFill="1"/>
    <xf numFmtId="166" fontId="3" fillId="4" borderId="0" xfId="0" applyNumberFormat="1" applyFont="1" applyFill="1"/>
    <xf numFmtId="167" fontId="3" fillId="4" borderId="0" xfId="0" applyNumberFormat="1" applyFont="1" applyFill="1"/>
    <xf numFmtId="168" fontId="3" fillId="4" borderId="0" xfId="0" applyNumberFormat="1" applyFont="1" applyFill="1"/>
    <xf numFmtId="1" fontId="3" fillId="4" borderId="0" xfId="0" applyNumberFormat="1" applyFont="1" applyFill="1"/>
    <xf numFmtId="3" fontId="4" fillId="5" borderId="0" xfId="0" applyNumberFormat="1" applyFont="1" applyFill="1"/>
    <xf numFmtId="166" fontId="4" fillId="5" borderId="0" xfId="0" applyNumberFormat="1" applyFont="1" applyFill="1"/>
    <xf numFmtId="165" fontId="4" fillId="5" borderId="0" xfId="0" applyNumberFormat="1" applyFont="1" applyFill="1"/>
    <xf numFmtId="0" fontId="2" fillId="3" borderId="0" xfId="0" applyFont="1" applyFill="1"/>
    <xf numFmtId="164" fontId="5" fillId="0" borderId="0" xfId="0" applyNumberFormat="1" applyFont="1"/>
    <xf numFmtId="0" fontId="6" fillId="6" borderId="0" xfId="0" applyFont="1" applyFill="1"/>
    <xf numFmtId="164" fontId="6" fillId="6" borderId="0" xfId="0" applyNumberFormat="1" applyFont="1" applyFill="1"/>
    <xf numFmtId="4" fontId="5" fillId="0" borderId="0" xfId="0" applyNumberFormat="1" applyFont="1"/>
    <xf numFmtId="3" fontId="5" fillId="0" borderId="0" xfId="0" applyNumberFormat="1" applyFont="1"/>
    <xf numFmtId="0" fontId="5" fillId="0" borderId="0" xfId="0" applyFont="1"/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8" fontId="5" fillId="0" borderId="0" xfId="0" applyNumberFormat="1" applyFont="1"/>
    <xf numFmtId="0" fontId="6" fillId="0" borderId="0" xfId="0" applyFont="1"/>
    <xf numFmtId="169" fontId="5" fillId="0" borderId="0" xfId="0" applyNumberFormat="1" applyFont="1"/>
    <xf numFmtId="1" fontId="5" fillId="0" borderId="0" xfId="0" applyNumberFormat="1" applyFont="1"/>
    <xf numFmtId="0" fontId="7" fillId="7" borderId="0" xfId="0" applyFont="1" applyFill="1"/>
    <xf numFmtId="164" fontId="7" fillId="7" borderId="0" xfId="0" applyNumberFormat="1" applyFont="1" applyFill="1"/>
    <xf numFmtId="3" fontId="7" fillId="7" borderId="0" xfId="0" applyNumberFormat="1" applyFont="1" applyFill="1"/>
    <xf numFmtId="168" fontId="7" fillId="7" borderId="0" xfId="0" applyNumberFormat="1" applyFont="1" applyFill="1"/>
    <xf numFmtId="169" fontId="7" fillId="7" borderId="0" xfId="0" applyNumberFormat="1" applyFont="1" applyFill="1"/>
    <xf numFmtId="164" fontId="0" fillId="0" borderId="0" xfId="0" applyNumberFormat="1"/>
    <xf numFmtId="2" fontId="0" fillId="0" borderId="0" xfId="0" applyNumberFormat="1"/>
    <xf numFmtId="164" fontId="5" fillId="8" borderId="0" xfId="0" applyNumberFormat="1" applyFont="1" applyFill="1"/>
    <xf numFmtId="9" fontId="0" fillId="0" borderId="0" xfId="0" applyNumberFormat="1"/>
    <xf numFmtId="0" fontId="10" fillId="9" borderId="0" xfId="0" applyFont="1" applyFill="1" applyAlignment="1">
      <alignment horizontal="center" vertical="center" wrapText="1"/>
    </xf>
    <xf numFmtId="2" fontId="10" fillId="9" borderId="0" xfId="0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10" borderId="0" xfId="0" applyFill="1"/>
    <xf numFmtId="0" fontId="9" fillId="11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right" vertical="center" wrapText="1"/>
    </xf>
    <xf numFmtId="9" fontId="11" fillId="11" borderId="0" xfId="0" applyNumberFormat="1" applyFont="1" applyFill="1" applyAlignment="1">
      <alignment horizontal="right" vertical="center" wrapText="1"/>
    </xf>
    <xf numFmtId="10" fontId="11" fillId="11" borderId="0" xfId="0" applyNumberFormat="1" applyFont="1" applyFill="1" applyAlignment="1">
      <alignment horizontal="right" vertical="center" wrapText="1"/>
    </xf>
    <xf numFmtId="0" fontId="10" fillId="12" borderId="0" xfId="0" applyFont="1" applyFill="1" applyAlignment="1">
      <alignment horizontal="center" vertical="center" wrapText="1"/>
    </xf>
    <xf numFmtId="0" fontId="12" fillId="0" borderId="0" xfId="0" applyFont="1"/>
    <xf numFmtId="1" fontId="0" fillId="0" borderId="0" xfId="0" applyNumberFormat="1"/>
    <xf numFmtId="0" fontId="10" fillId="13" borderId="0" xfId="0" applyFont="1" applyFill="1" applyAlignment="1">
      <alignment horizontal="center" vertical="center" wrapText="1"/>
    </xf>
    <xf numFmtId="165" fontId="0" fillId="0" borderId="0" xfId="0" applyNumberFormat="1"/>
    <xf numFmtId="0" fontId="14" fillId="0" borderId="0" xfId="1" applyFont="1"/>
    <xf numFmtId="0" fontId="14" fillId="0" borderId="0" xfId="0" applyFont="1"/>
    <xf numFmtId="0" fontId="15" fillId="0" borderId="0" xfId="0" applyFont="1"/>
    <xf numFmtId="0" fontId="9" fillId="0" borderId="0" xfId="0" applyFont="1"/>
    <xf numFmtId="0" fontId="16" fillId="4" borderId="0" xfId="0" applyFont="1" applyFill="1"/>
    <xf numFmtId="0" fontId="17" fillId="6" borderId="0" xfId="0" applyFont="1" applyFill="1"/>
    <xf numFmtId="4" fontId="6" fillId="6" borderId="0" xfId="0" applyNumberFormat="1" applyFont="1" applyFill="1"/>
    <xf numFmtId="0" fontId="15" fillId="3" borderId="0" xfId="0" applyFont="1" applyFill="1"/>
    <xf numFmtId="0" fontId="2" fillId="14" borderId="0" xfId="0" applyFont="1" applyFill="1"/>
    <xf numFmtId="0" fontId="15" fillId="14" borderId="0" xfId="0" applyFont="1" applyFill="1"/>
    <xf numFmtId="9" fontId="0" fillId="0" borderId="0" xfId="2" applyFont="1"/>
    <xf numFmtId="0" fontId="0" fillId="14" borderId="0" xfId="0" applyFill="1"/>
    <xf numFmtId="2" fontId="19" fillId="15" borderId="0" xfId="0" applyNumberFormat="1" applyFont="1" applyFill="1"/>
    <xf numFmtId="3" fontId="0" fillId="0" borderId="0" xfId="0" applyNumberFormat="1"/>
    <xf numFmtId="9" fontId="18" fillId="16" borderId="0" xfId="2" applyFont="1" applyFill="1"/>
    <xf numFmtId="164" fontId="16" fillId="4" borderId="0" xfId="0" applyNumberFormat="1" applyFont="1" applyFill="1"/>
    <xf numFmtId="167" fontId="3" fillId="4" borderId="0" xfId="0" applyNumberFormat="1" applyFont="1" applyFill="1" applyAlignment="1">
      <alignment horizontal="right"/>
    </xf>
    <xf numFmtId="167" fontId="4" fillId="5" borderId="0" xfId="0" applyNumberFormat="1" applyFont="1" applyFill="1" applyAlignment="1">
      <alignment horizontal="right"/>
    </xf>
    <xf numFmtId="167" fontId="0" fillId="0" borderId="0" xfId="0" applyNumberFormat="1"/>
    <xf numFmtId="168" fontId="20" fillId="8" borderId="0" xfId="0" applyNumberFormat="1" applyFont="1" applyFill="1"/>
    <xf numFmtId="3" fontId="18" fillId="17" borderId="0" xfId="0" applyNumberFormat="1" applyFont="1" applyFill="1"/>
    <xf numFmtId="165" fontId="18" fillId="17" borderId="0" xfId="0" applyNumberFormat="1" applyFont="1" applyFill="1"/>
    <xf numFmtId="0" fontId="15" fillId="10" borderId="0" xfId="0" applyFont="1" applyFill="1"/>
    <xf numFmtId="4" fontId="18" fillId="17" borderId="0" xfId="0" applyNumberFormat="1" applyFont="1" applyFill="1"/>
    <xf numFmtId="0" fontId="18" fillId="17" borderId="0" xfId="0" applyFont="1" applyFill="1"/>
    <xf numFmtId="4" fontId="16" fillId="11" borderId="0" xfId="0" applyNumberFormat="1" applyFont="1" applyFill="1"/>
    <xf numFmtId="0" fontId="9" fillId="10" borderId="0" xfId="0" applyFont="1" applyFill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  <color rgb="FFCCFFFF"/>
      <color rgb="FF33CCCC"/>
      <color rgb="FFF7EAE9"/>
      <color rgb="FF0033CC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5f4d092ef779409d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1033" name="Text Box 9" hidden="1">
          <a:extLst>
            <a:ext uri="{FF2B5EF4-FFF2-40B4-BE49-F238E27FC236}">
              <a16:creationId xmlns:a16="http://schemas.microsoft.com/office/drawing/2014/main" id="{6A5A3876-EA8A-B52E-56A1-FB25BF53630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2" name="AutoShape 9">
          <a:extLst>
            <a:ext uri="{FF2B5EF4-FFF2-40B4-BE49-F238E27FC236}">
              <a16:creationId xmlns:a16="http://schemas.microsoft.com/office/drawing/2014/main" id="{0CF49D86-029A-C10A-9663-7C92227CF8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3" name="AutoShape 9">
          <a:extLst>
            <a:ext uri="{FF2B5EF4-FFF2-40B4-BE49-F238E27FC236}">
              <a16:creationId xmlns:a16="http://schemas.microsoft.com/office/drawing/2014/main" id="{BFEC8BFB-D460-EB5C-A398-7C9AAC7445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4" name="AutoShape 9">
          <a:extLst>
            <a:ext uri="{FF2B5EF4-FFF2-40B4-BE49-F238E27FC236}">
              <a16:creationId xmlns:a16="http://schemas.microsoft.com/office/drawing/2014/main" id="{2E1D0F15-4117-DBBD-DFD3-2D4DB37E4C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F1F9389E-6E03-A7F8-4044-6E271A3316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6" name="AutoShape 9">
          <a:extLst>
            <a:ext uri="{FF2B5EF4-FFF2-40B4-BE49-F238E27FC236}">
              <a16:creationId xmlns:a16="http://schemas.microsoft.com/office/drawing/2014/main" id="{776631C3-C1F6-6D6A-2A47-BB4C9D3D7C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7889512F-6B12-A090-FC20-D3FB17FBAC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8" name="AutoShape 9">
          <a:extLst>
            <a:ext uri="{FF2B5EF4-FFF2-40B4-BE49-F238E27FC236}">
              <a16:creationId xmlns:a16="http://schemas.microsoft.com/office/drawing/2014/main" id="{77794412-4EFE-85F0-A145-BD2EC1DC48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9" name="AutoShape 9">
          <a:extLst>
            <a:ext uri="{FF2B5EF4-FFF2-40B4-BE49-F238E27FC236}">
              <a16:creationId xmlns:a16="http://schemas.microsoft.com/office/drawing/2014/main" id="{F0AC7FDE-F791-B8D0-7F00-CA9E0FE9D0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FBB3EEBD-42A2-F6BA-5C26-B05B36B96B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11" name="AutoShape 9">
          <a:extLst>
            <a:ext uri="{FF2B5EF4-FFF2-40B4-BE49-F238E27FC236}">
              <a16:creationId xmlns:a16="http://schemas.microsoft.com/office/drawing/2014/main" id="{22387832-87A4-3751-8C3F-95BC533865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12" name="AutoShape 9">
          <a:extLst>
            <a:ext uri="{FF2B5EF4-FFF2-40B4-BE49-F238E27FC236}">
              <a16:creationId xmlns:a16="http://schemas.microsoft.com/office/drawing/2014/main" id="{A64029AB-E89F-3CEA-844C-FD8F666747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13" name="AutoShape 9">
          <a:extLst>
            <a:ext uri="{FF2B5EF4-FFF2-40B4-BE49-F238E27FC236}">
              <a16:creationId xmlns:a16="http://schemas.microsoft.com/office/drawing/2014/main" id="{83FF81AC-C162-BA19-3CC9-CFC2125E4CA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14" name="AutoShape 9">
          <a:extLst>
            <a:ext uri="{FF2B5EF4-FFF2-40B4-BE49-F238E27FC236}">
              <a16:creationId xmlns:a16="http://schemas.microsoft.com/office/drawing/2014/main" id="{C6604DC4-12B1-9EB9-C121-EFF4092AD9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15" name="AutoShape 9">
          <a:extLst>
            <a:ext uri="{FF2B5EF4-FFF2-40B4-BE49-F238E27FC236}">
              <a16:creationId xmlns:a16="http://schemas.microsoft.com/office/drawing/2014/main" id="{D21D8E40-B932-5373-20D1-02A2B5D0DD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16" name="AutoShape 9">
          <a:extLst>
            <a:ext uri="{FF2B5EF4-FFF2-40B4-BE49-F238E27FC236}">
              <a16:creationId xmlns:a16="http://schemas.microsoft.com/office/drawing/2014/main" id="{2E19341C-746C-B113-818A-7505E2FD3E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35</xdr:row>
      <xdr:rowOff>152400</xdr:rowOff>
    </xdr:to>
    <xdr:sp macro="" textlink="">
      <xdr:nvSpPr>
        <xdr:cNvPr id="17" name="AutoShape 9">
          <a:extLst>
            <a:ext uri="{FF2B5EF4-FFF2-40B4-BE49-F238E27FC236}">
              <a16:creationId xmlns:a16="http://schemas.microsoft.com/office/drawing/2014/main" id="{03AD5470-8FB4-0245-4A9F-AFA0E71181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18" name="AutoShape 9">
          <a:extLst>
            <a:ext uri="{FF2B5EF4-FFF2-40B4-BE49-F238E27FC236}">
              <a16:creationId xmlns:a16="http://schemas.microsoft.com/office/drawing/2014/main" id="{E76C2FB2-CAFF-4531-339A-BDD65CED15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19" name="AutoShape 9">
          <a:extLst>
            <a:ext uri="{FF2B5EF4-FFF2-40B4-BE49-F238E27FC236}">
              <a16:creationId xmlns:a16="http://schemas.microsoft.com/office/drawing/2014/main" id="{A3216E9C-6D94-D011-49FA-8C34340734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20" name="AutoShape 9">
          <a:extLst>
            <a:ext uri="{FF2B5EF4-FFF2-40B4-BE49-F238E27FC236}">
              <a16:creationId xmlns:a16="http://schemas.microsoft.com/office/drawing/2014/main" id="{387325CC-646A-D586-A84C-8E04BBBC9F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21" name="AutoShape 9">
          <a:extLst>
            <a:ext uri="{FF2B5EF4-FFF2-40B4-BE49-F238E27FC236}">
              <a16:creationId xmlns:a16="http://schemas.microsoft.com/office/drawing/2014/main" id="{3E45529C-AAD1-FDB8-9D48-ECD099B972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22" name="AutoShape 9">
          <a:extLst>
            <a:ext uri="{FF2B5EF4-FFF2-40B4-BE49-F238E27FC236}">
              <a16:creationId xmlns:a16="http://schemas.microsoft.com/office/drawing/2014/main" id="{33C9E6CF-D709-04F6-F759-96ECEBD0CF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23" name="AutoShape 9">
          <a:extLst>
            <a:ext uri="{FF2B5EF4-FFF2-40B4-BE49-F238E27FC236}">
              <a16:creationId xmlns:a16="http://schemas.microsoft.com/office/drawing/2014/main" id="{543031CE-B36B-BDD5-80D8-347305BBF5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24" name="AutoShape 9">
          <a:extLst>
            <a:ext uri="{FF2B5EF4-FFF2-40B4-BE49-F238E27FC236}">
              <a16:creationId xmlns:a16="http://schemas.microsoft.com/office/drawing/2014/main" id="{35E3C4A3-35BE-D9F3-8599-968DA4AD19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25" name="AutoShape 9">
          <a:extLst>
            <a:ext uri="{FF2B5EF4-FFF2-40B4-BE49-F238E27FC236}">
              <a16:creationId xmlns:a16="http://schemas.microsoft.com/office/drawing/2014/main" id="{75A7702F-65D0-83C7-E2B9-D5BA429BB2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26" name="AutoShape 9">
          <a:extLst>
            <a:ext uri="{FF2B5EF4-FFF2-40B4-BE49-F238E27FC236}">
              <a16:creationId xmlns:a16="http://schemas.microsoft.com/office/drawing/2014/main" id="{F80A9CD9-C5D2-6309-B1C2-474AEDABFC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27" name="AutoShape 9">
          <a:extLst>
            <a:ext uri="{FF2B5EF4-FFF2-40B4-BE49-F238E27FC236}">
              <a16:creationId xmlns:a16="http://schemas.microsoft.com/office/drawing/2014/main" id="{D566B914-010E-020D-7043-EA80AC079C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28" name="AutoShape 9">
          <a:extLst>
            <a:ext uri="{FF2B5EF4-FFF2-40B4-BE49-F238E27FC236}">
              <a16:creationId xmlns:a16="http://schemas.microsoft.com/office/drawing/2014/main" id="{EBE50613-8714-7817-6574-BEC5618B19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29" name="AutoShape 9">
          <a:extLst>
            <a:ext uri="{FF2B5EF4-FFF2-40B4-BE49-F238E27FC236}">
              <a16:creationId xmlns:a16="http://schemas.microsoft.com/office/drawing/2014/main" id="{1337AD13-62AD-46E8-6C97-426FFF4352B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30" name="AutoShape 9">
          <a:extLst>
            <a:ext uri="{FF2B5EF4-FFF2-40B4-BE49-F238E27FC236}">
              <a16:creationId xmlns:a16="http://schemas.microsoft.com/office/drawing/2014/main" id="{955AC033-8B74-ED54-2D18-1C34B91067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31" name="AutoShape 9">
          <a:extLst>
            <a:ext uri="{FF2B5EF4-FFF2-40B4-BE49-F238E27FC236}">
              <a16:creationId xmlns:a16="http://schemas.microsoft.com/office/drawing/2014/main" id="{36689091-818C-060A-841D-9AABE5A3E9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3867150</xdr:colOff>
      <xdr:row>33</xdr:row>
      <xdr:rowOff>228600</xdr:rowOff>
    </xdr:to>
    <xdr:sp macro="" textlink="">
      <xdr:nvSpPr>
        <xdr:cNvPr id="32" name="AutoShape 9">
          <a:extLst>
            <a:ext uri="{FF2B5EF4-FFF2-40B4-BE49-F238E27FC236}">
              <a16:creationId xmlns:a16="http://schemas.microsoft.com/office/drawing/2014/main" id="{B333BFB8-73AD-4B03-BCBC-B3625A2A176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962525" cy="6591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0bdc482b6854592/Documents/Solarvy/Appliance%20and%20installers/Solarvy_Installer_Matching_Scoring_Mode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  <sheetName val="Dashboard"/>
      <sheetName val="Customer_Profile"/>
      <sheetName val="Scoring_Criteria"/>
      <sheetName val="Installer_Database"/>
      <sheetName val="Match_Engine"/>
      <sheetName val="Results_Page_Output"/>
      <sheetName val="Introduction_Tracker"/>
      <sheetName val="Quote_Review_Tracker"/>
      <sheetName val="Implementation_Notes"/>
    </sheetNames>
    <sheetDataSet>
      <sheetData sheetId="0"/>
      <sheetData sheetId="1"/>
      <sheetData sheetId="2">
        <row r="5">
          <cell r="B5" t="str">
            <v>SV-0001</v>
          </cell>
        </row>
        <row r="6">
          <cell r="B6" t="str">
            <v>Example Customer</v>
          </cell>
        </row>
        <row r="8">
          <cell r="B8" t="str">
            <v>Home</v>
          </cell>
        </row>
      </sheetData>
      <sheetData sheetId="3"/>
      <sheetData sheetId="4">
        <row r="5">
          <cell r="A5" t="str">
            <v>INST-001</v>
          </cell>
          <cell r="B5" t="str">
            <v>Lagos Hybrid Power Ltd</v>
          </cell>
          <cell r="F5" t="str">
            <v>Lagos</v>
          </cell>
          <cell r="T5" t="str">
            <v>Same day</v>
          </cell>
          <cell r="U5" t="str">
            <v>Mid-range</v>
          </cell>
        </row>
        <row r="6">
          <cell r="A6" t="str">
            <v>INST-002</v>
          </cell>
          <cell r="B6" t="str">
            <v>Abuja SolarCare Engineering</v>
          </cell>
          <cell r="F6" t="str">
            <v>Abuja FCT</v>
          </cell>
          <cell r="T6" t="str">
            <v>24-48 hours</v>
          </cell>
          <cell r="U6" t="str">
            <v>Premium</v>
          </cell>
        </row>
        <row r="7">
          <cell r="A7" t="str">
            <v>INST-003</v>
          </cell>
          <cell r="B7" t="str">
            <v>Ogun Industrial Energy Works</v>
          </cell>
          <cell r="F7" t="str">
            <v>Ogun; Lagos</v>
          </cell>
          <cell r="T7" t="str">
            <v>2-3 days</v>
          </cell>
          <cell r="U7" t="str">
            <v>Mid-range</v>
          </cell>
        </row>
        <row r="8">
          <cell r="A8" t="str">
            <v>INST-004</v>
          </cell>
          <cell r="B8" t="str">
            <v>Rivers Reliable Solar</v>
          </cell>
          <cell r="F8" t="str">
            <v>Rivers; Akwa Ibom</v>
          </cell>
          <cell r="T8" t="str">
            <v>24-48 hours</v>
          </cell>
          <cell r="U8" t="str">
            <v>Mid-range</v>
          </cell>
        </row>
        <row r="9">
          <cell r="A9" t="str">
            <v>INST-005</v>
          </cell>
          <cell r="B9" t="str">
            <v>Budget Solar Installers NG</v>
          </cell>
          <cell r="F9" t="str">
            <v>Lagos</v>
          </cell>
          <cell r="T9" t="str">
            <v>Same day</v>
          </cell>
          <cell r="U9" t="str">
            <v>Budget</v>
          </cell>
        </row>
        <row r="10">
          <cell r="A10" t="str">
            <v>INST-006</v>
          </cell>
          <cell r="B10" t="str">
            <v>Prime Critical Power Systems</v>
          </cell>
          <cell r="F10" t="str">
            <v>Abuja FCT; Kano; Kaduna</v>
          </cell>
          <cell r="T10" t="str">
            <v>24-48 hours</v>
          </cell>
          <cell r="U10" t="str">
            <v>Premium</v>
          </cell>
        </row>
        <row r="11">
          <cell r="A11" t="str">
            <v>INST-007</v>
          </cell>
          <cell r="B11"/>
          <cell r="F11"/>
          <cell r="T11"/>
          <cell r="U11"/>
        </row>
        <row r="12">
          <cell r="A12" t="str">
            <v>INST-008</v>
          </cell>
          <cell r="B12"/>
          <cell r="F12"/>
          <cell r="T12"/>
          <cell r="U12"/>
        </row>
        <row r="13">
          <cell r="A13" t="str">
            <v>INST-009</v>
          </cell>
          <cell r="B13"/>
          <cell r="F13"/>
          <cell r="T13"/>
          <cell r="U13"/>
        </row>
        <row r="14">
          <cell r="A14" t="str">
            <v>INST-010</v>
          </cell>
          <cell r="B14"/>
          <cell r="F14"/>
          <cell r="T14"/>
          <cell r="U14"/>
        </row>
        <row r="15">
          <cell r="A15" t="str">
            <v>INST-011</v>
          </cell>
          <cell r="B15"/>
          <cell r="F15"/>
          <cell r="T15"/>
          <cell r="U15"/>
        </row>
        <row r="16">
          <cell r="A16" t="str">
            <v>INST-012</v>
          </cell>
          <cell r="B16"/>
          <cell r="F16"/>
          <cell r="T16"/>
          <cell r="U16"/>
        </row>
        <row r="17">
          <cell r="A17" t="str">
            <v>INST-013</v>
          </cell>
          <cell r="B17"/>
          <cell r="F17"/>
          <cell r="T17"/>
          <cell r="U17"/>
        </row>
        <row r="18">
          <cell r="A18" t="str">
            <v>INST-014</v>
          </cell>
          <cell r="B18"/>
          <cell r="F18"/>
          <cell r="T18"/>
          <cell r="U18"/>
        </row>
        <row r="19">
          <cell r="A19" t="str">
            <v>INST-015</v>
          </cell>
          <cell r="B19"/>
          <cell r="F19"/>
          <cell r="T19"/>
          <cell r="U19"/>
        </row>
        <row r="20">
          <cell r="A20" t="str">
            <v>INST-016</v>
          </cell>
          <cell r="B20"/>
          <cell r="F20"/>
          <cell r="T20"/>
          <cell r="U20"/>
        </row>
        <row r="21">
          <cell r="A21" t="str">
            <v>INST-017</v>
          </cell>
          <cell r="B21"/>
          <cell r="F21"/>
          <cell r="T21"/>
          <cell r="U21"/>
        </row>
        <row r="22">
          <cell r="A22" t="str">
            <v>INST-018</v>
          </cell>
          <cell r="B22"/>
          <cell r="F22"/>
          <cell r="T22"/>
          <cell r="U22"/>
        </row>
        <row r="23">
          <cell r="A23" t="str">
            <v>INST-019</v>
          </cell>
          <cell r="B23"/>
          <cell r="F23"/>
          <cell r="T23"/>
          <cell r="U23"/>
        </row>
        <row r="24">
          <cell r="A24" t="str">
            <v>INST-020</v>
          </cell>
          <cell r="B24"/>
          <cell r="F24"/>
          <cell r="T24"/>
          <cell r="U24"/>
        </row>
        <row r="25">
          <cell r="A25" t="str">
            <v>INST-021</v>
          </cell>
          <cell r="B25"/>
          <cell r="F25"/>
          <cell r="T25"/>
          <cell r="U25"/>
        </row>
        <row r="26">
          <cell r="A26" t="str">
            <v>INST-022</v>
          </cell>
          <cell r="B26"/>
          <cell r="F26"/>
          <cell r="T26"/>
          <cell r="U26"/>
        </row>
        <row r="27">
          <cell r="A27" t="str">
            <v>INST-023</v>
          </cell>
          <cell r="B27"/>
          <cell r="F27"/>
          <cell r="T27"/>
          <cell r="U27"/>
        </row>
        <row r="28">
          <cell r="A28" t="str">
            <v>INST-024</v>
          </cell>
          <cell r="B28"/>
          <cell r="F28"/>
          <cell r="T28"/>
          <cell r="U28"/>
        </row>
        <row r="29">
          <cell r="A29" t="str">
            <v>INST-025</v>
          </cell>
          <cell r="B29"/>
          <cell r="F29"/>
          <cell r="T29"/>
          <cell r="U29"/>
        </row>
        <row r="30">
          <cell r="A30" t="str">
            <v>INST-026</v>
          </cell>
          <cell r="B30"/>
          <cell r="F30"/>
          <cell r="T30"/>
          <cell r="U30"/>
        </row>
        <row r="31">
          <cell r="A31" t="str">
            <v>INST-027</v>
          </cell>
          <cell r="B31"/>
          <cell r="F31"/>
          <cell r="T31"/>
          <cell r="U31"/>
        </row>
        <row r="32">
          <cell r="A32" t="str">
            <v>INST-028</v>
          </cell>
          <cell r="B32"/>
          <cell r="F32"/>
          <cell r="T32"/>
          <cell r="U32"/>
        </row>
        <row r="33">
          <cell r="A33" t="str">
            <v>INST-029</v>
          </cell>
          <cell r="B33"/>
          <cell r="F33"/>
          <cell r="T33"/>
          <cell r="U33"/>
        </row>
        <row r="34">
          <cell r="A34" t="str">
            <v>INST-030</v>
          </cell>
          <cell r="B34"/>
          <cell r="F34"/>
          <cell r="T34"/>
          <cell r="U34"/>
        </row>
        <row r="35">
          <cell r="A35" t="str">
            <v>INST-031</v>
          </cell>
          <cell r="B35"/>
          <cell r="F35"/>
          <cell r="T35"/>
          <cell r="U35"/>
        </row>
        <row r="36">
          <cell r="A36" t="str">
            <v>INST-032</v>
          </cell>
          <cell r="B36"/>
          <cell r="F36"/>
          <cell r="T36"/>
          <cell r="U36"/>
        </row>
        <row r="37">
          <cell r="A37" t="str">
            <v>INST-033</v>
          </cell>
          <cell r="B37"/>
          <cell r="F37"/>
          <cell r="T37"/>
          <cell r="U37"/>
        </row>
        <row r="38">
          <cell r="A38" t="str">
            <v>INST-034</v>
          </cell>
          <cell r="B38"/>
          <cell r="F38"/>
          <cell r="T38"/>
          <cell r="U38"/>
        </row>
        <row r="39">
          <cell r="A39" t="str">
            <v>INST-035</v>
          </cell>
          <cell r="B39"/>
          <cell r="F39"/>
          <cell r="T39"/>
          <cell r="U39"/>
        </row>
        <row r="40">
          <cell r="A40" t="str">
            <v>INST-036</v>
          </cell>
          <cell r="B40"/>
          <cell r="F40"/>
          <cell r="T40"/>
          <cell r="U40"/>
        </row>
        <row r="41">
          <cell r="A41" t="str">
            <v>INST-037</v>
          </cell>
          <cell r="B41"/>
          <cell r="F41"/>
          <cell r="T41"/>
          <cell r="U41"/>
        </row>
        <row r="42">
          <cell r="A42" t="str">
            <v>INST-038</v>
          </cell>
          <cell r="B42"/>
          <cell r="F42"/>
          <cell r="T42"/>
          <cell r="U42"/>
        </row>
        <row r="43">
          <cell r="A43" t="str">
            <v>INST-039</v>
          </cell>
          <cell r="B43"/>
          <cell r="F43"/>
          <cell r="T43"/>
          <cell r="U43"/>
        </row>
        <row r="44">
          <cell r="A44" t="str">
            <v>INST-040</v>
          </cell>
          <cell r="B44"/>
          <cell r="F44"/>
          <cell r="T44"/>
          <cell r="U44"/>
        </row>
        <row r="45">
          <cell r="A45" t="str">
            <v>INST-041</v>
          </cell>
          <cell r="B45"/>
          <cell r="F45"/>
          <cell r="T45"/>
          <cell r="U45"/>
        </row>
        <row r="46">
          <cell r="A46" t="str">
            <v>INST-042</v>
          </cell>
          <cell r="B46"/>
          <cell r="F46"/>
          <cell r="T46"/>
          <cell r="U46"/>
        </row>
        <row r="47">
          <cell r="A47" t="str">
            <v>INST-043</v>
          </cell>
          <cell r="B47"/>
          <cell r="F47"/>
          <cell r="T47"/>
          <cell r="U47"/>
        </row>
        <row r="48">
          <cell r="A48" t="str">
            <v>INST-044</v>
          </cell>
          <cell r="B48"/>
          <cell r="F48"/>
          <cell r="T48"/>
          <cell r="U48"/>
        </row>
        <row r="49">
          <cell r="A49" t="str">
            <v>INST-045</v>
          </cell>
          <cell r="B49"/>
          <cell r="F49"/>
          <cell r="T49"/>
          <cell r="U49"/>
        </row>
        <row r="50">
          <cell r="A50" t="str">
            <v>INST-046</v>
          </cell>
          <cell r="B50"/>
          <cell r="F50"/>
          <cell r="T50"/>
          <cell r="U50"/>
        </row>
        <row r="51">
          <cell r="A51" t="str">
            <v>INST-047</v>
          </cell>
          <cell r="B51"/>
          <cell r="F51"/>
          <cell r="T51"/>
          <cell r="U51"/>
        </row>
        <row r="52">
          <cell r="A52" t="str">
            <v>INST-048</v>
          </cell>
          <cell r="B52"/>
          <cell r="F52"/>
          <cell r="T52"/>
          <cell r="U52"/>
        </row>
        <row r="53">
          <cell r="A53" t="str">
            <v>INST-049</v>
          </cell>
          <cell r="B53"/>
          <cell r="F53"/>
          <cell r="T53"/>
          <cell r="U53"/>
        </row>
        <row r="54">
          <cell r="A54" t="str">
            <v>INST-050</v>
          </cell>
          <cell r="B54"/>
          <cell r="F54"/>
          <cell r="T54"/>
          <cell r="U54"/>
        </row>
        <row r="55">
          <cell r="A55" t="str">
            <v>INST-051</v>
          </cell>
          <cell r="B55"/>
          <cell r="F55"/>
          <cell r="T55"/>
          <cell r="U55"/>
        </row>
        <row r="56">
          <cell r="A56" t="str">
            <v>INST-052</v>
          </cell>
          <cell r="B56"/>
          <cell r="F56"/>
          <cell r="T56"/>
          <cell r="U56"/>
        </row>
        <row r="57">
          <cell r="A57" t="str">
            <v>INST-053</v>
          </cell>
          <cell r="B57"/>
          <cell r="F57"/>
          <cell r="T57"/>
          <cell r="U57"/>
        </row>
        <row r="58">
          <cell r="A58" t="str">
            <v>INST-054</v>
          </cell>
          <cell r="B58"/>
          <cell r="F58"/>
          <cell r="T58"/>
          <cell r="U58"/>
        </row>
        <row r="59">
          <cell r="A59" t="str">
            <v>INST-055</v>
          </cell>
          <cell r="B59"/>
          <cell r="F59"/>
          <cell r="T59"/>
          <cell r="U59"/>
        </row>
        <row r="60">
          <cell r="A60" t="str">
            <v>INST-056</v>
          </cell>
          <cell r="B60"/>
          <cell r="F60"/>
          <cell r="T60"/>
          <cell r="U60"/>
        </row>
        <row r="61">
          <cell r="A61" t="str">
            <v>INST-057</v>
          </cell>
          <cell r="B61"/>
          <cell r="F61"/>
          <cell r="T61"/>
          <cell r="U61"/>
        </row>
        <row r="62">
          <cell r="A62" t="str">
            <v>INST-058</v>
          </cell>
          <cell r="B62"/>
          <cell r="F62"/>
          <cell r="T62"/>
          <cell r="U62"/>
        </row>
        <row r="63">
          <cell r="A63" t="str">
            <v>INST-059</v>
          </cell>
          <cell r="B63"/>
          <cell r="F63"/>
          <cell r="T63"/>
          <cell r="U63"/>
        </row>
        <row r="64">
          <cell r="A64" t="str">
            <v>INST-060</v>
          </cell>
          <cell r="B64"/>
          <cell r="F64"/>
          <cell r="T64"/>
          <cell r="U64"/>
        </row>
        <row r="65">
          <cell r="A65" t="str">
            <v>INST-061</v>
          </cell>
          <cell r="B65"/>
          <cell r="F65"/>
          <cell r="T65"/>
          <cell r="U65"/>
        </row>
        <row r="66">
          <cell r="A66" t="str">
            <v>INST-062</v>
          </cell>
          <cell r="B66"/>
          <cell r="F66"/>
          <cell r="T66"/>
          <cell r="U66"/>
        </row>
        <row r="67">
          <cell r="A67" t="str">
            <v>INST-063</v>
          </cell>
          <cell r="B67"/>
          <cell r="F67"/>
          <cell r="T67"/>
          <cell r="U67"/>
        </row>
        <row r="68">
          <cell r="A68" t="str">
            <v>INST-064</v>
          </cell>
          <cell r="B68"/>
          <cell r="F68"/>
          <cell r="T68"/>
          <cell r="U68"/>
        </row>
        <row r="69">
          <cell r="A69" t="str">
            <v>INST-065</v>
          </cell>
          <cell r="B69"/>
          <cell r="F69"/>
          <cell r="T69"/>
          <cell r="U69"/>
        </row>
        <row r="70">
          <cell r="A70" t="str">
            <v>INST-066</v>
          </cell>
          <cell r="B70"/>
          <cell r="F70"/>
          <cell r="T70"/>
          <cell r="U70"/>
        </row>
        <row r="71">
          <cell r="A71" t="str">
            <v>INST-067</v>
          </cell>
          <cell r="B71"/>
          <cell r="F71"/>
          <cell r="T71"/>
          <cell r="U71"/>
        </row>
        <row r="72">
          <cell r="A72" t="str">
            <v>INST-068</v>
          </cell>
          <cell r="B72"/>
          <cell r="F72"/>
          <cell r="T72"/>
          <cell r="U72"/>
        </row>
        <row r="73">
          <cell r="A73" t="str">
            <v>INST-069</v>
          </cell>
          <cell r="B73"/>
          <cell r="F73"/>
          <cell r="T73"/>
          <cell r="U73"/>
        </row>
        <row r="74">
          <cell r="A74" t="str">
            <v>INST-070</v>
          </cell>
          <cell r="B74"/>
          <cell r="F74"/>
          <cell r="T74"/>
          <cell r="U74"/>
        </row>
        <row r="75">
          <cell r="A75" t="str">
            <v>INST-071</v>
          </cell>
          <cell r="B75"/>
          <cell r="F75"/>
          <cell r="T75"/>
          <cell r="U75"/>
        </row>
        <row r="76">
          <cell r="A76" t="str">
            <v>INST-072</v>
          </cell>
          <cell r="B76"/>
          <cell r="F76"/>
          <cell r="T76"/>
          <cell r="U76"/>
        </row>
        <row r="77">
          <cell r="A77" t="str">
            <v>INST-073</v>
          </cell>
          <cell r="B77"/>
          <cell r="F77"/>
          <cell r="T77"/>
          <cell r="U77"/>
        </row>
        <row r="78">
          <cell r="A78" t="str">
            <v>INST-074</v>
          </cell>
          <cell r="B78"/>
          <cell r="F78"/>
          <cell r="T78"/>
          <cell r="U78"/>
        </row>
        <row r="79">
          <cell r="A79" t="str">
            <v>INST-075</v>
          </cell>
          <cell r="B79"/>
          <cell r="F79"/>
          <cell r="T79"/>
          <cell r="U79"/>
        </row>
        <row r="80">
          <cell r="A80" t="str">
            <v>INST-076</v>
          </cell>
          <cell r="B80"/>
          <cell r="F80"/>
          <cell r="T80"/>
          <cell r="U80"/>
        </row>
        <row r="81">
          <cell r="A81" t="str">
            <v>INST-077</v>
          </cell>
          <cell r="B81"/>
          <cell r="F81"/>
          <cell r="T81"/>
          <cell r="U81"/>
        </row>
        <row r="82">
          <cell r="A82" t="str">
            <v>INST-078</v>
          </cell>
          <cell r="B82"/>
          <cell r="F82"/>
          <cell r="T82"/>
          <cell r="U82"/>
        </row>
        <row r="83">
          <cell r="A83" t="str">
            <v>INST-079</v>
          </cell>
          <cell r="B83"/>
          <cell r="F83"/>
          <cell r="T83"/>
          <cell r="U83"/>
        </row>
        <row r="84">
          <cell r="A84" t="str">
            <v>INST-080</v>
          </cell>
          <cell r="B84"/>
          <cell r="F84"/>
          <cell r="T84"/>
          <cell r="U84"/>
        </row>
        <row r="85">
          <cell r="A85" t="str">
            <v>INST-081</v>
          </cell>
          <cell r="B85"/>
          <cell r="F85"/>
          <cell r="T85"/>
          <cell r="U85"/>
        </row>
        <row r="86">
          <cell r="A86" t="str">
            <v>INST-082</v>
          </cell>
          <cell r="B86"/>
          <cell r="F86"/>
          <cell r="T86"/>
          <cell r="U86"/>
        </row>
        <row r="87">
          <cell r="A87" t="str">
            <v>INST-083</v>
          </cell>
          <cell r="B87"/>
          <cell r="F87"/>
          <cell r="T87"/>
          <cell r="U87"/>
        </row>
        <row r="88">
          <cell r="A88" t="str">
            <v>INST-084</v>
          </cell>
          <cell r="B88"/>
          <cell r="F88"/>
          <cell r="T88"/>
          <cell r="U88"/>
        </row>
        <row r="89">
          <cell r="A89" t="str">
            <v>INST-085</v>
          </cell>
          <cell r="B89"/>
          <cell r="F89"/>
          <cell r="T89"/>
          <cell r="U89"/>
        </row>
        <row r="90">
          <cell r="A90" t="str">
            <v>INST-086</v>
          </cell>
          <cell r="B90"/>
          <cell r="F90"/>
          <cell r="T90"/>
          <cell r="U90"/>
        </row>
        <row r="91">
          <cell r="A91" t="str">
            <v>INST-087</v>
          </cell>
          <cell r="B91"/>
          <cell r="F91"/>
          <cell r="T91"/>
          <cell r="U91"/>
        </row>
        <row r="92">
          <cell r="A92" t="str">
            <v>INST-088</v>
          </cell>
          <cell r="B92"/>
          <cell r="F92"/>
          <cell r="T92"/>
          <cell r="U92"/>
        </row>
        <row r="93">
          <cell r="A93" t="str">
            <v>INST-089</v>
          </cell>
          <cell r="B93"/>
          <cell r="F93"/>
          <cell r="T93"/>
          <cell r="U93"/>
        </row>
        <row r="94">
          <cell r="A94" t="str">
            <v>INST-090</v>
          </cell>
          <cell r="B94"/>
          <cell r="F94"/>
          <cell r="T94"/>
          <cell r="U94"/>
        </row>
        <row r="95">
          <cell r="A95" t="str">
            <v>INST-091</v>
          </cell>
          <cell r="B95"/>
          <cell r="F95"/>
          <cell r="T95"/>
          <cell r="U95"/>
        </row>
        <row r="96">
          <cell r="A96" t="str">
            <v>INST-092</v>
          </cell>
          <cell r="B96"/>
          <cell r="F96"/>
          <cell r="T96"/>
          <cell r="U96"/>
        </row>
        <row r="97">
          <cell r="A97" t="str">
            <v>INST-093</v>
          </cell>
          <cell r="B97"/>
          <cell r="F97"/>
          <cell r="T97"/>
          <cell r="U97"/>
        </row>
        <row r="98">
          <cell r="A98" t="str">
            <v>INST-094</v>
          </cell>
          <cell r="B98"/>
          <cell r="F98"/>
          <cell r="T98"/>
          <cell r="U98"/>
        </row>
        <row r="99">
          <cell r="A99" t="str">
            <v>INST-095</v>
          </cell>
          <cell r="B99"/>
          <cell r="F99"/>
          <cell r="T99"/>
          <cell r="U99"/>
        </row>
        <row r="100">
          <cell r="A100" t="str">
            <v>INST-096</v>
          </cell>
          <cell r="B100"/>
          <cell r="F100"/>
          <cell r="T100"/>
          <cell r="U100"/>
        </row>
        <row r="101">
          <cell r="A101" t="str">
            <v>INST-097</v>
          </cell>
          <cell r="B101"/>
          <cell r="F101"/>
          <cell r="T101"/>
          <cell r="U101"/>
        </row>
        <row r="102">
          <cell r="A102" t="str">
            <v>INST-098</v>
          </cell>
          <cell r="B102"/>
          <cell r="F102"/>
          <cell r="T102"/>
          <cell r="U102"/>
        </row>
        <row r="103">
          <cell r="A103" t="str">
            <v>INST-099</v>
          </cell>
          <cell r="B103"/>
          <cell r="F103"/>
          <cell r="T103"/>
          <cell r="U103"/>
        </row>
        <row r="104">
          <cell r="A104" t="str">
            <v>INST-100</v>
          </cell>
          <cell r="B104"/>
          <cell r="F104"/>
          <cell r="T104"/>
          <cell r="U104"/>
        </row>
      </sheetData>
      <sheetData sheetId="5">
        <row r="5">
          <cell r="C5" t="str">
            <v>Lagos Hybrid Power Ltd</v>
          </cell>
        </row>
        <row r="6">
          <cell r="C6" t="str">
            <v>Abuja SolarCare Engineering</v>
          </cell>
        </row>
        <row r="7">
          <cell r="C7" t="str">
            <v>Ogun Industrial Energy Works</v>
          </cell>
        </row>
        <row r="8">
          <cell r="C8" t="str">
            <v>Rivers Reliable Solar</v>
          </cell>
        </row>
        <row r="9">
          <cell r="C9" t="str">
            <v>Budget Solar Installers NG</v>
          </cell>
        </row>
        <row r="10">
          <cell r="C10" t="str">
            <v>Prime Critical Power Systems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  <row r="98">
          <cell r="C98">
            <v>0</v>
          </cell>
        </row>
        <row r="99">
          <cell r="C99">
            <v>0</v>
          </cell>
        </row>
        <row r="100">
          <cell r="C100">
            <v>0</v>
          </cell>
        </row>
        <row r="101">
          <cell r="C101">
            <v>0</v>
          </cell>
        </row>
        <row r="102">
          <cell r="C102">
            <v>0</v>
          </cell>
        </row>
        <row r="103">
          <cell r="C103">
            <v>0</v>
          </cell>
        </row>
        <row r="104">
          <cell r="C104">
            <v>0</v>
          </cell>
        </row>
      </sheetData>
      <sheetData sheetId="6"/>
      <sheetData sheetId="7"/>
      <sheetData sheetId="8"/>
      <sheetData sheetId="9"/>
    </sheetDataSet>
  </externalBook>
</externalLink>
</file>

<file path=xl/persons/person.xml><?xml version="1.0" encoding="utf-8"?>
<xltc:personList xmlns:xltc="http://schemas.microsoft.com/office/spreadsheetml/2018/threadedcomments">
  <xltc:person displayName="OpenAI" id="{1A19FD84-1D97-B113-AF08-1C5AD9A45BD8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95DAE8-99CE-4A23-98B5-CCF3AF395280}" name="EquipmentDefaultsTable" displayName="EquipmentDefaultsTable" ref="A1:H16">
  <tableColumns count="8">
    <tableColumn id="1" xr3:uid="{7524BD25-15FD-42F8-9D70-63E49F49ACDF}" name="Equipment "/>
    <tableColumn id="2" xr3:uid="{D4B7D428-1E0E-4548-8198-76E84BBEAE37}" name="Wattage "/>
    <tableColumn id="3" xr3:uid="{7D52E235-602A-4134-8F12-93B1437184FE}" name="Hours/Day"/>
    <tableColumn id="4" xr3:uid="{F3EFE5D9-2DAF-436A-BC33-EE61B09DAE9B}" name="Usage Pattern"/>
    <tableColumn id="5" xr3:uid="{B4F76FC0-337B-464B-B3A3-875F07899C01}" name="Duty Cycle"/>
    <tableColumn id="6" xr3:uid="{19D7FF24-6009-4247-8389-EAF5094F814F}" name="Surge Factor"/>
    <tableColumn id="7" xr3:uid="{2F9F7B89-D290-4E40-91EB-CCCB65F5731B}" name="Critical by Default?"/>
    <tableColumn id="8" xr3:uid="{92D7D08D-C783-49DC-AAC5-29C049EE29F8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250A290-8A49-465F-8FD0-110933C9E14A}" name="SolarvyMenuTable" displayName="SolarvyMenuTable" ref="A1:E7">
  <tableColumns count="5">
    <tableColumn id="1" xr3:uid="{1A4DDF8A-39A0-4CB8-8976-530F55153C3E}" name=" Category"/>
    <tableColumn id="2" xr3:uid="{AF1A3778-647C-41C0-9DC2-B5735479A4F7}" name="Column1"/>
    <tableColumn id="3" xr3:uid="{25D7BC67-0491-484A-BDE2-4F95FAC70E29}" name="Column2"/>
    <tableColumn id="4" xr3:uid="{D649FEB8-B98F-448F-9DE1-4254F5035E09}" name="Column3"/>
    <tableColumn id="5" xr3:uid="{16E440C3-534F-499A-96E7-0C19111DAA59}" name="Column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9A3213-EF00-45DC-A7EE-1E9287985BF8}" name="LoadTemplatesTable" displayName="LoadTemplatesTable" ref="A3:O312">
  <tableColumns count="15">
    <tableColumn id="1" xr3:uid="{9A2F2033-405E-44BB-8DF5-AED3443476F0}" name="Solarvy Category"/>
    <tableColumn id="2" xr3:uid="{304B5531-D046-48BE-A239-E3A357A05CD4}" name="Template Name"/>
    <tableColumn id="3" xr3:uid="{8C6C4722-5539-4341-8A1E-DCD45162644C}" name="Template Level"/>
    <tableColumn id="4" xr3:uid="{A0F33C63-6291-4734-8AB2-A425C3B002F5}" name="Equipment"/>
    <tableColumn id="6" xr3:uid="{7570FAD5-681E-46BC-878C-C5DCFF2760D1}" name="Qty"/>
    <tableColumn id="7" xr3:uid="{24C1DEE0-DBE1-4AB0-8FE9-1E72E6E4D95A}" name="Wattage W"/>
    <tableColumn id="8" xr3:uid="{1CDDD647-1BB3-42D9-95C4-9CE8DB2CB1D8}" name="Hours/Day"/>
    <tableColumn id="10" xr3:uid="{DDF9D4AC-1C27-490B-914F-450DFF3759DA}" name="Duty Cycle"/>
    <tableColumn id="11" xr3:uid="{152B44B1-9E92-464F-ABE2-085F60594841}" name="Critical Load?"/>
    <tableColumn id="12" xr3:uid="{731072E6-DFCD-47CB-8003-1EBF7A9A8EC9}" name="Surge Factor"/>
    <tableColumn id="13" xr3:uid="{463EC0DE-CF41-4A25-8C07-5C907C31BE1C}" name="Daily Wh">
      <calculatedColumnFormula>E4*F4*G4*H4</calculatedColumnFormula>
    </tableColumn>
    <tableColumn id="14" xr3:uid="{5770D37D-0B15-406A-A70B-497A7461C0A5}" name="Daily kWh">
      <calculatedColumnFormula>K4/1000</calculatedColumnFormula>
    </tableColumn>
    <tableColumn id="15" xr3:uid="{37CBF882-0F65-4A5D-89EF-9EB7D4C324EF}" name="Running W">
      <calculatedColumnFormula>E4*F4</calculatedColumnFormula>
    </tableColumn>
    <tableColumn id="16" xr3:uid="{20DE3D50-0308-4161-B01D-47856C66CCAC}" name="Surge W">
      <calculatedColumnFormula>M4*J4</calculatedColumnFormula>
    </tableColumn>
    <tableColumn id="17" xr3:uid="{67A3300C-AADE-4052-9E42-FEAAE1C3B6D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mailto:jpeters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showGridLines="0" workbookViewId="0">
      <selection activeCell="B4" sqref="B4"/>
    </sheetView>
  </sheetViews>
  <sheetFormatPr defaultRowHeight="15"/>
  <cols>
    <col min="1" max="1" width="24" customWidth="1"/>
    <col min="2" max="2" width="90" customWidth="1"/>
    <col min="3" max="19" width="18" customWidth="1"/>
  </cols>
  <sheetData>
    <row r="1" spans="1:10" ht="24" customHeight="1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</row>
    <row r="3" spans="1:10">
      <c r="A3" s="1" t="s">
        <v>1</v>
      </c>
      <c r="B3" s="2"/>
    </row>
    <row r="4" spans="1:10">
      <c r="A4" s="1" t="s">
        <v>2</v>
      </c>
      <c r="B4" s="2" t="s">
        <v>927</v>
      </c>
    </row>
    <row r="5" spans="1:10">
      <c r="A5" s="1" t="s">
        <v>3</v>
      </c>
      <c r="B5" s="2"/>
    </row>
    <row r="6" spans="1:10">
      <c r="A6" s="1" t="s">
        <v>4</v>
      </c>
      <c r="B6" s="2"/>
    </row>
    <row r="7" spans="1:10">
      <c r="A7" s="1" t="s">
        <v>5</v>
      </c>
      <c r="B7" s="2" t="s">
        <v>926</v>
      </c>
    </row>
    <row r="8" spans="1:10">
      <c r="B8" s="2"/>
    </row>
    <row r="9" spans="1:10">
      <c r="A9" s="1"/>
      <c r="B9" s="2"/>
    </row>
    <row r="10" spans="1:10">
      <c r="B10" s="2"/>
    </row>
    <row r="11" spans="1:10">
      <c r="B11" s="2"/>
    </row>
    <row r="12" spans="1:10">
      <c r="B12" s="2"/>
    </row>
    <row r="13" spans="1:10">
      <c r="B13" s="2"/>
    </row>
    <row r="14" spans="1:10">
      <c r="B14" s="2"/>
    </row>
    <row r="15" spans="1:10">
      <c r="B15" s="2"/>
    </row>
    <row r="16" spans="1:10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  <row r="23" spans="2:2">
      <c r="B23" s="2"/>
    </row>
    <row r="24" spans="2:2">
      <c r="B24" s="2"/>
    </row>
    <row r="25" spans="2:2">
      <c r="B25" s="2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R63"/>
  <sheetViews>
    <sheetView showGridLines="0" zoomScale="95" zoomScaleNormal="95" workbookViewId="0">
      <selection activeCell="B13" sqref="B13"/>
    </sheetView>
  </sheetViews>
  <sheetFormatPr defaultRowHeight="15"/>
  <cols>
    <col min="1" max="1" width="32" customWidth="1"/>
    <col min="2" max="2" width="22" customWidth="1"/>
    <col min="3" max="3" width="20.42578125" customWidth="1"/>
    <col min="4" max="11" width="18" customWidth="1"/>
    <col min="12" max="12" width="43" customWidth="1"/>
    <col min="13" max="13" width="18" customWidth="1"/>
    <col min="14" max="14" width="30" customWidth="1"/>
    <col min="15" max="16" width="18" customWidth="1"/>
    <col min="17" max="17" width="21.42578125" customWidth="1"/>
    <col min="18" max="20" width="18" customWidth="1"/>
  </cols>
  <sheetData>
    <row r="1" spans="1:18" ht="24" customHeight="1">
      <c r="A1" s="77" t="s">
        <v>7</v>
      </c>
      <c r="B1" s="78"/>
      <c r="C1" s="78"/>
      <c r="D1" s="78"/>
      <c r="E1" s="78"/>
      <c r="F1" s="78"/>
      <c r="G1" s="78"/>
      <c r="H1" s="78"/>
    </row>
    <row r="3" spans="1:18">
      <c r="A3" s="79" t="s">
        <v>8</v>
      </c>
      <c r="B3" s="78"/>
      <c r="C3" s="78"/>
      <c r="D3" s="78"/>
      <c r="I3" s="53" t="s">
        <v>627</v>
      </c>
      <c r="J3" s="53" t="s">
        <v>630</v>
      </c>
      <c r="K3" s="53"/>
      <c r="L3" s="53" t="s">
        <v>878</v>
      </c>
      <c r="N3" s="53" t="s">
        <v>878</v>
      </c>
      <c r="Q3" s="53" t="s">
        <v>70</v>
      </c>
      <c r="R3" s="53" t="s">
        <v>884</v>
      </c>
    </row>
    <row r="4" spans="1:18">
      <c r="A4" s="1" t="s">
        <v>9</v>
      </c>
      <c r="B4" s="3" t="s">
        <v>10</v>
      </c>
      <c r="I4" t="s">
        <v>813</v>
      </c>
      <c r="J4" t="s">
        <v>466</v>
      </c>
      <c r="L4" t="s">
        <v>886</v>
      </c>
      <c r="N4" t="s">
        <v>153</v>
      </c>
      <c r="P4">
        <v>1</v>
      </c>
      <c r="Q4" t="s">
        <v>103</v>
      </c>
      <c r="R4" t="s">
        <v>153</v>
      </c>
    </row>
    <row r="5" spans="1:18">
      <c r="A5" s="1" t="s">
        <v>11</v>
      </c>
      <c r="B5" s="3" t="s">
        <v>12</v>
      </c>
      <c r="I5" t="s">
        <v>814</v>
      </c>
      <c r="J5" t="s">
        <v>17</v>
      </c>
      <c r="L5" t="s">
        <v>887</v>
      </c>
      <c r="N5" t="s">
        <v>161</v>
      </c>
      <c r="P5">
        <v>2</v>
      </c>
      <c r="Q5" t="s">
        <v>103</v>
      </c>
      <c r="R5" t="s">
        <v>161</v>
      </c>
    </row>
    <row r="6" spans="1:18">
      <c r="A6" s="1" t="s">
        <v>13</v>
      </c>
      <c r="B6" s="3" t="s">
        <v>14</v>
      </c>
      <c r="I6" t="s">
        <v>815</v>
      </c>
      <c r="J6" t="s">
        <v>831</v>
      </c>
      <c r="L6" t="s">
        <v>888</v>
      </c>
      <c r="N6" t="s">
        <v>163</v>
      </c>
      <c r="P6">
        <v>3</v>
      </c>
      <c r="Q6" t="s">
        <v>103</v>
      </c>
      <c r="R6" t="s">
        <v>163</v>
      </c>
    </row>
    <row r="7" spans="1:18">
      <c r="A7" s="58" t="s">
        <v>15</v>
      </c>
      <c r="B7" s="54" t="s">
        <v>16</v>
      </c>
      <c r="I7" t="s">
        <v>816</v>
      </c>
      <c r="J7" t="s">
        <v>849</v>
      </c>
      <c r="L7" t="s">
        <v>889</v>
      </c>
      <c r="N7" t="s">
        <v>164</v>
      </c>
      <c r="P7">
        <v>4</v>
      </c>
      <c r="Q7" t="s">
        <v>103</v>
      </c>
      <c r="R7" t="s">
        <v>164</v>
      </c>
    </row>
    <row r="8" spans="1:18">
      <c r="A8" s="58" t="s">
        <v>627</v>
      </c>
      <c r="B8" s="54" t="s">
        <v>17</v>
      </c>
      <c r="I8" t="s">
        <v>817</v>
      </c>
      <c r="J8" t="s">
        <v>850</v>
      </c>
      <c r="L8" t="s">
        <v>890</v>
      </c>
      <c r="N8" t="s">
        <v>166</v>
      </c>
      <c r="P8">
        <v>5</v>
      </c>
      <c r="Q8" t="s">
        <v>103</v>
      </c>
      <c r="R8" t="s">
        <v>166</v>
      </c>
    </row>
    <row r="9" spans="1:18">
      <c r="A9" s="52" t="s">
        <v>630</v>
      </c>
      <c r="B9" s="54"/>
      <c r="I9" t="s">
        <v>818</v>
      </c>
      <c r="J9" t="s">
        <v>851</v>
      </c>
      <c r="L9" t="s">
        <v>891</v>
      </c>
      <c r="N9" t="s">
        <v>169</v>
      </c>
      <c r="P9">
        <v>6</v>
      </c>
      <c r="Q9" t="s">
        <v>103</v>
      </c>
      <c r="R9" t="s">
        <v>169</v>
      </c>
    </row>
    <row r="10" spans="1:18">
      <c r="A10" s="58" t="s">
        <v>914</v>
      </c>
      <c r="B10" s="3" t="s">
        <v>103</v>
      </c>
      <c r="C10" t="s">
        <v>18</v>
      </c>
      <c r="I10" t="s">
        <v>819</v>
      </c>
      <c r="J10" t="s">
        <v>830</v>
      </c>
      <c r="L10" t="s">
        <v>185</v>
      </c>
      <c r="N10" t="s">
        <v>170</v>
      </c>
      <c r="P10">
        <v>7</v>
      </c>
      <c r="Q10" t="s">
        <v>103</v>
      </c>
      <c r="R10" t="s">
        <v>170</v>
      </c>
    </row>
    <row r="11" spans="1:18">
      <c r="A11" s="59" t="s">
        <v>678</v>
      </c>
      <c r="B11" s="54" t="s">
        <v>888</v>
      </c>
      <c r="C11" t="str">
        <f>B11</f>
        <v>2-Bedroom Flat</v>
      </c>
      <c r="D11">
        <f>IF(C11="Studio / Self-contained",1,
IF(C11="1-Bedroom Flat",2,
IF(C11="2-Bedroom Flat",3,
IF(C11="3-Bedroom House",4,
IF(C11="4-Bedroom Duplex",5,
IF(C11="5-Bedroom Duplex / Large Home",6,
IF(C11="Mini Estate / Shared Services",7,IF(C11="Short-let Apartment - Standard",8,
IF(C11="Guest House - 6 Rooms",9,
IF(C11="Small Hotel - 12 Rooms Partial Backup",10,
IF(C11="Medium Hotel - 25 Rooms Critical Loads",11,
IF(C11="Lounge / Bar",12,IF(C11="Small Shop / Retail Kiosk",13,
IF(C11="Pharmacy",14,
IF(C11="Supermarket / Grocery",15,
IF(C11="Salon / Barbershop",16,
IF(C11="Small Office",17,
IF(C11="Restaurant / Cafe",18,
IF(C11="Bakery",19,
IF(C11="Fuel Station Retail / Office",20,IF(C11="Bank / ATM Lobby",21,
IF(C11="Warehouse",22,
IF(C11="Cold Room / Frozen Storage",23,
IF(C11="Light Factory / Small Production",24,
IF(C11="Welding Workshop",25,
IF(C11="Poultry Farm",26,
IF(C11="Irrigation Pumping",27,
IF(C11="Agro-Processing / Milling",28,IF(C11="Printing / Small Manufacturing",29,
IF(C11="Small Clinic",30,
IF(C11="Diagnostic Lab",31,
IF(C11="Maternity Clinic",32,
IF(C11="Small Hospital - Critical Loads",33,
IF(C11="Dental Clinic",34,
IF(C11="Nursery / Primary School",35,
IF(C11="Secondary School",36,
IF(C11="Computer Lab / Training Centre",37,
IF(C11="Training Centre / Office",38,
IF(C11="Church / Mosque / Event Hall",39,IF(C11="Boarding School Common Services",40))))))))))))))))))))))))))))))))))))))))</f>
        <v>3</v>
      </c>
      <c r="I11" t="s">
        <v>820</v>
      </c>
      <c r="J11" t="s">
        <v>852</v>
      </c>
      <c r="N11" t="s">
        <v>172</v>
      </c>
      <c r="P11">
        <v>8</v>
      </c>
      <c r="Q11" t="s">
        <v>103</v>
      </c>
      <c r="R11" t="s">
        <v>172</v>
      </c>
    </row>
    <row r="12" spans="1:18">
      <c r="A12" s="52" t="s">
        <v>885</v>
      </c>
      <c r="B12" s="54" t="s">
        <v>162</v>
      </c>
      <c r="I12" t="s">
        <v>821</v>
      </c>
      <c r="J12" t="s">
        <v>853</v>
      </c>
      <c r="L12" s="53" t="s">
        <v>879</v>
      </c>
      <c r="N12" t="s">
        <v>173</v>
      </c>
      <c r="P12">
        <v>9</v>
      </c>
      <c r="Q12" t="s">
        <v>103</v>
      </c>
      <c r="R12" t="s">
        <v>173</v>
      </c>
    </row>
    <row r="13" spans="1:18">
      <c r="A13" s="58" t="s">
        <v>913</v>
      </c>
      <c r="B13" s="3" t="s">
        <v>909</v>
      </c>
      <c r="C13" t="s">
        <v>20</v>
      </c>
      <c r="I13" t="s">
        <v>822</v>
      </c>
      <c r="J13" t="s">
        <v>854</v>
      </c>
      <c r="L13" t="s">
        <v>195</v>
      </c>
      <c r="N13" t="s">
        <v>174</v>
      </c>
      <c r="P13">
        <v>10</v>
      </c>
      <c r="Q13" t="s">
        <v>103</v>
      </c>
      <c r="R13" t="s">
        <v>174</v>
      </c>
    </row>
    <row r="14" spans="1:18">
      <c r="A14" s="58" t="s">
        <v>912</v>
      </c>
      <c r="B14" s="3" t="s">
        <v>910</v>
      </c>
      <c r="C14" t="s">
        <v>21</v>
      </c>
      <c r="I14" t="s">
        <v>823</v>
      </c>
      <c r="J14" t="s">
        <v>855</v>
      </c>
      <c r="L14" t="s">
        <v>197</v>
      </c>
      <c r="N14" t="s">
        <v>176</v>
      </c>
      <c r="P14">
        <v>11</v>
      </c>
      <c r="Q14" t="s">
        <v>103</v>
      </c>
      <c r="R14" t="s">
        <v>176</v>
      </c>
    </row>
    <row r="15" spans="1:18">
      <c r="A15" s="58" t="s">
        <v>915</v>
      </c>
      <c r="B15" s="3" t="s">
        <v>938</v>
      </c>
      <c r="C15" t="s">
        <v>22</v>
      </c>
      <c r="I15" t="s">
        <v>824</v>
      </c>
      <c r="J15" t="s">
        <v>856</v>
      </c>
      <c r="L15" t="s">
        <v>207</v>
      </c>
      <c r="N15" t="s">
        <v>177</v>
      </c>
      <c r="P15">
        <v>12</v>
      </c>
      <c r="Q15" t="s">
        <v>103</v>
      </c>
      <c r="R15" t="s">
        <v>177</v>
      </c>
    </row>
    <row r="16" spans="1:18">
      <c r="I16" t="s">
        <v>825</v>
      </c>
      <c r="J16" t="s">
        <v>826</v>
      </c>
      <c r="L16" t="s">
        <v>214</v>
      </c>
      <c r="N16" t="s">
        <v>178</v>
      </c>
      <c r="P16">
        <v>13</v>
      </c>
      <c r="Q16" t="s">
        <v>103</v>
      </c>
      <c r="R16" t="s">
        <v>178</v>
      </c>
    </row>
    <row r="17" spans="1:18">
      <c r="A17" s="79" t="s">
        <v>23</v>
      </c>
      <c r="B17" s="78"/>
      <c r="C17" s="78"/>
      <c r="D17" s="78"/>
      <c r="I17" t="s">
        <v>826</v>
      </c>
      <c r="J17" t="s">
        <v>857</v>
      </c>
      <c r="L17" t="s">
        <v>221</v>
      </c>
      <c r="N17" t="s">
        <v>180</v>
      </c>
      <c r="P17">
        <v>14</v>
      </c>
      <c r="Q17" t="s">
        <v>103</v>
      </c>
      <c r="R17" t="s">
        <v>180</v>
      </c>
    </row>
    <row r="18" spans="1:18">
      <c r="A18" s="1" t="s">
        <v>24</v>
      </c>
      <c r="B18" s="4">
        <v>0</v>
      </c>
      <c r="I18" t="s">
        <v>827</v>
      </c>
      <c r="J18" t="s">
        <v>858</v>
      </c>
      <c r="N18" t="s">
        <v>182</v>
      </c>
      <c r="P18">
        <v>15</v>
      </c>
      <c r="Q18" t="s">
        <v>103</v>
      </c>
      <c r="R18" t="s">
        <v>182</v>
      </c>
    </row>
    <row r="19" spans="1:18">
      <c r="A19" s="1" t="s">
        <v>25</v>
      </c>
      <c r="B19" s="4">
        <v>0</v>
      </c>
      <c r="I19" t="s">
        <v>828</v>
      </c>
      <c r="J19" t="s">
        <v>859</v>
      </c>
      <c r="L19" s="53" t="s">
        <v>880</v>
      </c>
      <c r="N19" t="s">
        <v>183</v>
      </c>
      <c r="P19">
        <v>16</v>
      </c>
      <c r="Q19" t="s">
        <v>103</v>
      </c>
      <c r="R19" t="s">
        <v>183</v>
      </c>
    </row>
    <row r="20" spans="1:18">
      <c r="A20" s="58" t="s">
        <v>917</v>
      </c>
      <c r="B20" s="5">
        <v>6</v>
      </c>
      <c r="C20" t="s">
        <v>26</v>
      </c>
      <c r="I20" t="s">
        <v>829</v>
      </c>
      <c r="J20" t="s">
        <v>844</v>
      </c>
      <c r="L20" t="s">
        <v>229</v>
      </c>
      <c r="N20" t="s">
        <v>185</v>
      </c>
      <c r="P20">
        <v>17</v>
      </c>
      <c r="Q20" t="s">
        <v>103</v>
      </c>
      <c r="R20" t="s">
        <v>185</v>
      </c>
    </row>
    <row r="21" spans="1:18">
      <c r="A21" s="58" t="s">
        <v>916</v>
      </c>
      <c r="B21" s="4">
        <v>200</v>
      </c>
      <c r="C21" t="s">
        <v>27</v>
      </c>
      <c r="I21" t="s">
        <v>830</v>
      </c>
      <c r="J21" t="s">
        <v>860</v>
      </c>
      <c r="L21" t="s">
        <v>236</v>
      </c>
      <c r="P21">
        <v>18</v>
      </c>
      <c r="Q21" t="s">
        <v>19</v>
      </c>
      <c r="R21" t="s">
        <v>195</v>
      </c>
    </row>
    <row r="22" spans="1:18">
      <c r="A22" s="1" t="s">
        <v>28</v>
      </c>
      <c r="B22" s="6">
        <v>0.6</v>
      </c>
      <c r="I22" t="s">
        <v>831</v>
      </c>
      <c r="J22" t="s">
        <v>841</v>
      </c>
      <c r="L22" t="s">
        <v>240</v>
      </c>
      <c r="N22" s="53" t="s">
        <v>879</v>
      </c>
      <c r="P22">
        <v>19</v>
      </c>
      <c r="Q22" t="s">
        <v>19</v>
      </c>
      <c r="R22" t="s">
        <v>197</v>
      </c>
    </row>
    <row r="23" spans="1:18">
      <c r="A23" s="1" t="s">
        <v>29</v>
      </c>
      <c r="B23" s="6">
        <v>0.15</v>
      </c>
      <c r="I23" t="s">
        <v>832</v>
      </c>
      <c r="J23" t="s">
        <v>861</v>
      </c>
      <c r="L23" t="s">
        <v>244</v>
      </c>
      <c r="N23" t="s">
        <v>195</v>
      </c>
      <c r="P23">
        <v>20</v>
      </c>
      <c r="Q23" t="s">
        <v>19</v>
      </c>
      <c r="R23" t="s">
        <v>207</v>
      </c>
    </row>
    <row r="24" spans="1:18">
      <c r="A24" s="1" t="s">
        <v>30</v>
      </c>
      <c r="B24" s="6">
        <v>0.6</v>
      </c>
      <c r="I24" t="s">
        <v>833</v>
      </c>
      <c r="J24" t="s">
        <v>862</v>
      </c>
      <c r="L24" t="s">
        <v>249</v>
      </c>
      <c r="N24" t="s">
        <v>197</v>
      </c>
      <c r="P24">
        <v>21</v>
      </c>
      <c r="Q24" t="s">
        <v>19</v>
      </c>
      <c r="R24" t="s">
        <v>214</v>
      </c>
    </row>
    <row r="25" spans="1:18">
      <c r="A25" s="58" t="s">
        <v>911</v>
      </c>
      <c r="B25" s="5">
        <v>4</v>
      </c>
      <c r="C25" t="s">
        <v>31</v>
      </c>
      <c r="I25" t="s">
        <v>834</v>
      </c>
      <c r="J25" t="s">
        <v>863</v>
      </c>
      <c r="L25" t="s">
        <v>254</v>
      </c>
      <c r="N25" t="s">
        <v>207</v>
      </c>
      <c r="P25">
        <v>22</v>
      </c>
      <c r="Q25" t="s">
        <v>19</v>
      </c>
      <c r="R25" t="s">
        <v>221</v>
      </c>
    </row>
    <row r="26" spans="1:18">
      <c r="A26" s="1" t="s">
        <v>32</v>
      </c>
      <c r="B26" s="6">
        <v>0.9</v>
      </c>
      <c r="I26" t="s">
        <v>835</v>
      </c>
      <c r="J26" t="s">
        <v>864</v>
      </c>
      <c r="L26" t="s">
        <v>262</v>
      </c>
      <c r="N26" t="s">
        <v>214</v>
      </c>
      <c r="P26">
        <v>23</v>
      </c>
      <c r="Q26" t="s">
        <v>78</v>
      </c>
      <c r="R26" t="s">
        <v>229</v>
      </c>
    </row>
    <row r="27" spans="1:18">
      <c r="A27" s="1" t="s">
        <v>33</v>
      </c>
      <c r="B27" s="6">
        <v>0.2</v>
      </c>
      <c r="I27" t="s">
        <v>17</v>
      </c>
      <c r="J27" t="s">
        <v>832</v>
      </c>
      <c r="L27" t="s">
        <v>268</v>
      </c>
      <c r="N27" t="s">
        <v>221</v>
      </c>
      <c r="P27">
        <v>24</v>
      </c>
      <c r="Q27" t="s">
        <v>78</v>
      </c>
      <c r="R27" t="s">
        <v>236</v>
      </c>
    </row>
    <row r="28" spans="1:18">
      <c r="I28" t="s">
        <v>836</v>
      </c>
      <c r="J28" t="s">
        <v>865</v>
      </c>
      <c r="L28" t="s">
        <v>274</v>
      </c>
      <c r="P28">
        <v>25</v>
      </c>
      <c r="Q28" t="s">
        <v>78</v>
      </c>
      <c r="R28" t="s">
        <v>240</v>
      </c>
    </row>
    <row r="29" spans="1:18">
      <c r="A29" s="79" t="s">
        <v>34</v>
      </c>
      <c r="B29" s="78"/>
      <c r="C29" s="78"/>
      <c r="D29" s="78"/>
      <c r="I29" t="s">
        <v>837</v>
      </c>
      <c r="J29" t="s">
        <v>866</v>
      </c>
      <c r="N29" s="53" t="s">
        <v>880</v>
      </c>
      <c r="P29">
        <v>26</v>
      </c>
      <c r="Q29" t="s">
        <v>78</v>
      </c>
      <c r="R29" t="s">
        <v>244</v>
      </c>
    </row>
    <row r="30" spans="1:18">
      <c r="A30" s="58" t="s">
        <v>35</v>
      </c>
      <c r="B30" s="66">
        <v>209.5</v>
      </c>
      <c r="C30" s="68"/>
      <c r="E30" s="39" t="s">
        <v>920</v>
      </c>
      <c r="F30" s="39"/>
      <c r="I30" t="s">
        <v>838</v>
      </c>
      <c r="J30" t="s">
        <v>817</v>
      </c>
      <c r="L30" s="53" t="s">
        <v>881</v>
      </c>
      <c r="N30" t="s">
        <v>229</v>
      </c>
      <c r="P30">
        <v>27</v>
      </c>
      <c r="Q30" t="s">
        <v>78</v>
      </c>
      <c r="R30" t="s">
        <v>249</v>
      </c>
    </row>
    <row r="31" spans="1:18">
      <c r="A31" s="1" t="s">
        <v>36</v>
      </c>
      <c r="B31" s="7">
        <v>1200</v>
      </c>
      <c r="E31" s="39" t="s">
        <v>921</v>
      </c>
      <c r="F31" s="39"/>
      <c r="I31" t="s">
        <v>839</v>
      </c>
      <c r="J31" t="s">
        <v>827</v>
      </c>
      <c r="L31" t="s">
        <v>105</v>
      </c>
      <c r="N31" t="s">
        <v>236</v>
      </c>
      <c r="P31">
        <v>28</v>
      </c>
      <c r="Q31" t="s">
        <v>78</v>
      </c>
      <c r="R31" t="s">
        <v>254</v>
      </c>
    </row>
    <row r="32" spans="1:18">
      <c r="A32" s="1" t="s">
        <v>37</v>
      </c>
      <c r="B32" s="5">
        <v>3.5</v>
      </c>
      <c r="C32" s="39"/>
      <c r="E32" s="39" t="s">
        <v>922</v>
      </c>
      <c r="F32" s="39"/>
      <c r="I32" t="s">
        <v>840</v>
      </c>
      <c r="J32" t="s">
        <v>867</v>
      </c>
      <c r="L32" t="s">
        <v>286</v>
      </c>
      <c r="N32" t="s">
        <v>240</v>
      </c>
      <c r="P32">
        <v>29</v>
      </c>
      <c r="Q32" t="s">
        <v>78</v>
      </c>
      <c r="R32" t="s">
        <v>262</v>
      </c>
    </row>
    <row r="33" spans="1:18">
      <c r="A33" s="1" t="s">
        <v>38</v>
      </c>
      <c r="B33" s="8">
        <f>IF($B$10="Home", 300000,IF($B$10="Office",420000,IF($B$10="Factory",320000,550000)))</f>
        <v>300000</v>
      </c>
      <c r="C33" s="39"/>
      <c r="E33" s="39" t="s">
        <v>923</v>
      </c>
      <c r="F33" s="39"/>
      <c r="I33" t="s">
        <v>841</v>
      </c>
      <c r="J33" t="s">
        <v>868</v>
      </c>
      <c r="L33" t="s">
        <v>292</v>
      </c>
      <c r="N33" t="s">
        <v>244</v>
      </c>
      <c r="P33">
        <v>30</v>
      </c>
      <c r="Q33" t="s">
        <v>78</v>
      </c>
      <c r="R33" t="s">
        <v>268</v>
      </c>
    </row>
    <row r="34" spans="1:18">
      <c r="A34" s="1" t="s">
        <v>39</v>
      </c>
      <c r="B34" s="8">
        <f>IF($B$10="Home",260000,IF($B$10="Office",350000,IF($B$10="Factory",300000,420000)))</f>
        <v>260000</v>
      </c>
      <c r="C34" s="39"/>
      <c r="E34" s="39" t="s">
        <v>924</v>
      </c>
      <c r="F34" s="39"/>
      <c r="I34" t="s">
        <v>842</v>
      </c>
      <c r="J34" t="s">
        <v>869</v>
      </c>
      <c r="L34" t="s">
        <v>297</v>
      </c>
      <c r="N34" t="s">
        <v>249</v>
      </c>
      <c r="P34">
        <v>31</v>
      </c>
      <c r="Q34" t="s">
        <v>78</v>
      </c>
      <c r="R34" t="s">
        <v>274</v>
      </c>
    </row>
    <row r="35" spans="1:18">
      <c r="A35" s="1" t="s">
        <v>40</v>
      </c>
      <c r="B35" s="8">
        <f>IF($B$10="Home",230000,IF($B$10="Office",300000,IF($B$10="Factory",220000,380000)))</f>
        <v>230000</v>
      </c>
      <c r="C35" s="39"/>
      <c r="I35" t="s">
        <v>843</v>
      </c>
      <c r="J35" t="s">
        <v>870</v>
      </c>
      <c r="L35" t="s">
        <v>303</v>
      </c>
      <c r="N35" t="s">
        <v>254</v>
      </c>
      <c r="P35">
        <v>32</v>
      </c>
      <c r="Q35" t="s">
        <v>104</v>
      </c>
      <c r="R35" t="s">
        <v>105</v>
      </c>
    </row>
    <row r="36" spans="1:18">
      <c r="A36" s="1" t="s">
        <v>41</v>
      </c>
      <c r="B36" s="6">
        <f>IF($B$10="Home",0.12,IF($B$10="Office",0.15,IF($B$10="Factory",0.12,0.2)))</f>
        <v>0.12</v>
      </c>
      <c r="C36" s="39"/>
      <c r="I36" t="s">
        <v>844</v>
      </c>
      <c r="J36" t="s">
        <v>871</v>
      </c>
      <c r="L36" t="s">
        <v>308</v>
      </c>
      <c r="N36" t="s">
        <v>262</v>
      </c>
      <c r="P36">
        <v>33</v>
      </c>
      <c r="Q36" t="s">
        <v>104</v>
      </c>
      <c r="R36" t="s">
        <v>286</v>
      </c>
    </row>
    <row r="37" spans="1:18">
      <c r="A37" s="1" t="s">
        <v>42</v>
      </c>
      <c r="B37" s="6">
        <v>0.02</v>
      </c>
      <c r="C37" s="39"/>
      <c r="I37" t="s">
        <v>845</v>
      </c>
      <c r="J37" t="s">
        <v>872</v>
      </c>
      <c r="L37" t="s">
        <v>312</v>
      </c>
      <c r="N37" t="s">
        <v>268</v>
      </c>
      <c r="P37">
        <v>34</v>
      </c>
      <c r="Q37" t="s">
        <v>104</v>
      </c>
      <c r="R37" t="s">
        <v>292</v>
      </c>
    </row>
    <row r="38" spans="1:18">
      <c r="A38" s="1" t="s">
        <v>43</v>
      </c>
      <c r="B38" s="6">
        <v>0.15</v>
      </c>
      <c r="I38" t="s">
        <v>846</v>
      </c>
      <c r="J38" t="s">
        <v>873</v>
      </c>
      <c r="L38" t="s">
        <v>316</v>
      </c>
      <c r="N38" t="s">
        <v>274</v>
      </c>
      <c r="P38">
        <v>35</v>
      </c>
      <c r="Q38" t="s">
        <v>104</v>
      </c>
      <c r="R38" t="s">
        <v>297</v>
      </c>
    </row>
    <row r="39" spans="1:18">
      <c r="A39" s="1" t="s">
        <v>44</v>
      </c>
      <c r="B39" s="9">
        <v>15</v>
      </c>
      <c r="I39" t="s">
        <v>847</v>
      </c>
      <c r="J39" t="s">
        <v>874</v>
      </c>
      <c r="P39">
        <v>36</v>
      </c>
      <c r="Q39" t="s">
        <v>104</v>
      </c>
      <c r="R39" t="s">
        <v>303</v>
      </c>
    </row>
    <row r="40" spans="1:18">
      <c r="I40" t="s">
        <v>848</v>
      </c>
      <c r="J40" t="s">
        <v>875</v>
      </c>
      <c r="L40" s="53" t="s">
        <v>882</v>
      </c>
      <c r="N40" s="53" t="s">
        <v>881</v>
      </c>
      <c r="P40">
        <v>37</v>
      </c>
      <c r="Q40" t="s">
        <v>104</v>
      </c>
      <c r="R40" t="s">
        <v>308</v>
      </c>
    </row>
    <row r="41" spans="1:18">
      <c r="A41" s="79" t="s">
        <v>45</v>
      </c>
      <c r="B41" s="78"/>
      <c r="C41" s="78"/>
      <c r="D41" s="78"/>
      <c r="J41" t="s">
        <v>876</v>
      </c>
      <c r="L41" t="s">
        <v>320</v>
      </c>
      <c r="N41" t="s">
        <v>105</v>
      </c>
      <c r="P41">
        <v>38</v>
      </c>
      <c r="Q41" t="s">
        <v>104</v>
      </c>
      <c r="R41" t="s">
        <v>312</v>
      </c>
    </row>
    <row r="42" spans="1:18">
      <c r="A42" s="1" t="s">
        <v>46</v>
      </c>
      <c r="B42" s="10">
        <f>IF(B7="Nigeria",1450, IF(B7="Kenya",1550, IF(B7="Ghana",1500, IF(B7="South Africa",1600, IF(B7="United Kingdom",950, 1450)))))</f>
        <v>1450</v>
      </c>
      <c r="J42" t="s">
        <v>877</v>
      </c>
      <c r="L42" t="s">
        <v>326</v>
      </c>
      <c r="N42" t="s">
        <v>286</v>
      </c>
      <c r="P42">
        <v>39</v>
      </c>
      <c r="Q42" t="s">
        <v>104</v>
      </c>
      <c r="R42" t="s">
        <v>316</v>
      </c>
    </row>
    <row r="43" spans="1:18">
      <c r="A43" s="1" t="s">
        <v>47</v>
      </c>
      <c r="B43" s="11">
        <f>IF(B10="Home",0.75, IF(B10="Office",0.7, IF(B10="Factory",0.85, IF(B10="School",0.8, 0.75))))</f>
        <v>0.75</v>
      </c>
      <c r="L43" t="s">
        <v>333</v>
      </c>
      <c r="N43" t="s">
        <v>292</v>
      </c>
      <c r="P43">
        <v>40</v>
      </c>
      <c r="Q43" t="s">
        <v>106</v>
      </c>
      <c r="R43" t="s">
        <v>320</v>
      </c>
    </row>
    <row r="44" spans="1:18">
      <c r="A44" s="1" t="s">
        <v>48</v>
      </c>
      <c r="B44" s="11">
        <f>Assumptions!B19</f>
        <v>1</v>
      </c>
      <c r="L44" t="s">
        <v>338</v>
      </c>
      <c r="N44" t="s">
        <v>297</v>
      </c>
      <c r="P44">
        <v>41</v>
      </c>
      <c r="Q44" t="s">
        <v>106</v>
      </c>
      <c r="R44" t="s">
        <v>326</v>
      </c>
    </row>
    <row r="45" spans="1:18">
      <c r="A45" s="1" t="s">
        <v>49</v>
      </c>
      <c r="B45" s="12">
        <v>5.5</v>
      </c>
      <c r="L45" t="s">
        <v>344</v>
      </c>
      <c r="N45" t="s">
        <v>303</v>
      </c>
      <c r="P45">
        <v>42</v>
      </c>
      <c r="Q45" t="s">
        <v>106</v>
      </c>
      <c r="R45" t="s">
        <v>333</v>
      </c>
    </row>
    <row r="46" spans="1:18">
      <c r="A46" s="1" t="s">
        <v>50</v>
      </c>
      <c r="B46" s="3" t="s">
        <v>51</v>
      </c>
      <c r="N46" t="s">
        <v>308</v>
      </c>
      <c r="P46">
        <v>43</v>
      </c>
      <c r="Q46" t="s">
        <v>106</v>
      </c>
      <c r="R46" t="s">
        <v>338</v>
      </c>
    </row>
    <row r="47" spans="1:18">
      <c r="L47" s="53" t="s">
        <v>883</v>
      </c>
      <c r="N47" t="s">
        <v>312</v>
      </c>
      <c r="P47">
        <v>44</v>
      </c>
      <c r="Q47" t="s">
        <v>106</v>
      </c>
      <c r="R47" t="s">
        <v>344</v>
      </c>
    </row>
    <row r="48" spans="1:18">
      <c r="L48" t="s">
        <v>347</v>
      </c>
      <c r="N48" t="s">
        <v>316</v>
      </c>
      <c r="P48">
        <v>45</v>
      </c>
      <c r="Q48" t="s">
        <v>102</v>
      </c>
      <c r="R48" t="s">
        <v>347</v>
      </c>
    </row>
    <row r="49" spans="1:18">
      <c r="A49" s="40" t="s">
        <v>404</v>
      </c>
      <c r="B49" s="40" t="s">
        <v>399</v>
      </c>
      <c r="C49" s="40" t="s">
        <v>400</v>
      </c>
      <c r="D49" s="40" t="s">
        <v>401</v>
      </c>
      <c r="E49" s="40" t="s">
        <v>402</v>
      </c>
      <c r="F49" s="40" t="s">
        <v>403</v>
      </c>
      <c r="L49" t="s">
        <v>352</v>
      </c>
      <c r="P49">
        <v>46</v>
      </c>
      <c r="Q49" t="s">
        <v>102</v>
      </c>
      <c r="R49" t="s">
        <v>352</v>
      </c>
    </row>
    <row r="50" spans="1:18">
      <c r="A50" s="41" t="s">
        <v>103</v>
      </c>
      <c r="B50" s="42" t="s">
        <v>405</v>
      </c>
      <c r="C50" s="42" t="s">
        <v>406</v>
      </c>
      <c r="D50" s="42" t="s">
        <v>407</v>
      </c>
      <c r="E50" s="43">
        <v>0.13</v>
      </c>
      <c r="F50" s="44">
        <v>0.02</v>
      </c>
      <c r="L50" t="s">
        <v>356</v>
      </c>
      <c r="N50" s="53" t="s">
        <v>882</v>
      </c>
      <c r="P50">
        <v>47</v>
      </c>
      <c r="Q50" t="s">
        <v>102</v>
      </c>
      <c r="R50" t="s">
        <v>356</v>
      </c>
    </row>
    <row r="51" spans="1:18">
      <c r="A51" s="41" t="s">
        <v>102</v>
      </c>
      <c r="B51" s="42" t="s">
        <v>408</v>
      </c>
      <c r="C51" s="42" t="s">
        <v>407</v>
      </c>
      <c r="D51" s="42" t="s">
        <v>409</v>
      </c>
      <c r="E51" s="43">
        <v>0.1</v>
      </c>
      <c r="F51" s="44">
        <v>0.02</v>
      </c>
      <c r="L51" t="s">
        <v>360</v>
      </c>
      <c r="N51" t="s">
        <v>320</v>
      </c>
      <c r="P51">
        <v>48</v>
      </c>
      <c r="Q51" t="s">
        <v>102</v>
      </c>
      <c r="R51" t="s">
        <v>360</v>
      </c>
    </row>
    <row r="52" spans="1:18">
      <c r="A52" s="41" t="s">
        <v>78</v>
      </c>
      <c r="B52" s="42" t="s">
        <v>406</v>
      </c>
      <c r="C52" s="42" t="s">
        <v>410</v>
      </c>
      <c r="D52" s="42" t="s">
        <v>411</v>
      </c>
      <c r="E52" s="43">
        <v>0.09</v>
      </c>
      <c r="F52" s="44">
        <v>2.5000000000000001E-2</v>
      </c>
      <c r="L52" t="s">
        <v>364</v>
      </c>
      <c r="N52" t="s">
        <v>326</v>
      </c>
      <c r="P52">
        <v>49</v>
      </c>
      <c r="Q52" t="s">
        <v>102</v>
      </c>
      <c r="R52" t="s">
        <v>364</v>
      </c>
    </row>
    <row r="53" spans="1:18">
      <c r="A53" s="41" t="s">
        <v>19</v>
      </c>
      <c r="B53" s="42" t="s">
        <v>412</v>
      </c>
      <c r="C53" s="42" t="s">
        <v>413</v>
      </c>
      <c r="D53" s="42" t="s">
        <v>414</v>
      </c>
      <c r="E53" s="43">
        <v>0.12</v>
      </c>
      <c r="F53" s="44">
        <v>3.5000000000000003E-2</v>
      </c>
      <c r="L53" t="s">
        <v>368</v>
      </c>
      <c r="N53" t="s">
        <v>333</v>
      </c>
      <c r="P53">
        <v>50</v>
      </c>
      <c r="Q53" t="s">
        <v>102</v>
      </c>
      <c r="R53" t="s">
        <v>368</v>
      </c>
    </row>
    <row r="54" spans="1:18">
      <c r="A54" s="41" t="s">
        <v>106</v>
      </c>
      <c r="B54" s="42" t="s">
        <v>415</v>
      </c>
      <c r="C54" s="42" t="s">
        <v>412</v>
      </c>
      <c r="D54" s="42" t="s">
        <v>416</v>
      </c>
      <c r="E54" s="43">
        <v>0.15</v>
      </c>
      <c r="F54" s="44">
        <v>4.4999999999999998E-2</v>
      </c>
      <c r="N54" t="s">
        <v>338</v>
      </c>
    </row>
    <row r="55" spans="1:18">
      <c r="A55" s="41" t="s">
        <v>104</v>
      </c>
      <c r="B55" s="42" t="s">
        <v>413</v>
      </c>
      <c r="C55" s="42" t="s">
        <v>417</v>
      </c>
      <c r="D55" s="42" t="s">
        <v>418</v>
      </c>
      <c r="E55" s="43">
        <v>0.08</v>
      </c>
      <c r="F55" s="44">
        <v>2.5000000000000001E-2</v>
      </c>
      <c r="N55" t="s">
        <v>344</v>
      </c>
    </row>
    <row r="57" spans="1:18">
      <c r="N57" s="53" t="s">
        <v>883</v>
      </c>
    </row>
    <row r="58" spans="1:18">
      <c r="N58" t="s">
        <v>347</v>
      </c>
    </row>
    <row r="59" spans="1:18">
      <c r="A59" s="53" t="s">
        <v>905</v>
      </c>
      <c r="B59" s="62">
        <v>0.75</v>
      </c>
      <c r="N59" t="s">
        <v>352</v>
      </c>
    </row>
    <row r="60" spans="1:18">
      <c r="N60" t="s">
        <v>356</v>
      </c>
    </row>
    <row r="61" spans="1:18">
      <c r="N61" t="s">
        <v>360</v>
      </c>
    </row>
    <row r="62" spans="1:18">
      <c r="N62" t="s">
        <v>364</v>
      </c>
    </row>
    <row r="63" spans="1:18">
      <c r="N63" t="s">
        <v>368</v>
      </c>
    </row>
  </sheetData>
  <mergeCells count="5">
    <mergeCell ref="A29:D29"/>
    <mergeCell ref="A41:D41"/>
    <mergeCell ref="A3:D3"/>
    <mergeCell ref="A1:H1"/>
    <mergeCell ref="A17:D17"/>
  </mergeCells>
  <dataValidations count="11">
    <dataValidation type="list" sqref="B7" xr:uid="{00000000-0002-0000-0100-000000000000}">
      <formula1>"Nigeria,Ghana,Kenya"</formula1>
    </dataValidation>
    <dataValidation type="list" sqref="B12" xr:uid="{00000000-0002-0000-0100-000001000000}">
      <formula1>"Essential,Standard,Comfort"</formula1>
    </dataValidation>
    <dataValidation type="list" sqref="B13" xr:uid="{00000000-0002-0000-0100-000002000000}">
      <formula1>"Grid Only,Grid + Generator,Solar + Grid"</formula1>
    </dataValidation>
    <dataValidation type="list" sqref="B14" xr:uid="{00000000-0002-0000-0100-000003000000}">
      <formula1>"Reduce Electricity Bills,Reduce Diesel Use,Backup During Outages"</formula1>
    </dataValidation>
    <dataValidation type="list" sqref="B15" xr:uid="{00000000-0002-0000-0100-000004000000}">
      <formula1>"Bill,Appliances,Custom"</formula1>
    </dataValidation>
    <dataValidation type="list" sqref="B10" xr:uid="{65A39F98-9CFD-4140-9AD0-11FE4776902D}">
      <formula1>"Home,Hotel,Commercial,Factory,Hospital,School"</formula1>
    </dataValidation>
    <dataValidation type="list" sqref="B11" xr:uid="{73DBE1DA-AF7D-493C-9631-CB9016EF9A3B}">
      <formula1>INDIRECT(B10)</formula1>
    </dataValidation>
    <dataValidation type="list" sqref="B8" xr:uid="{681C6318-EFAD-494A-842A-7DBD34E1EC3F}">
      <formula1>$I$4:$I$40</formula1>
    </dataValidation>
    <dataValidation type="list" allowBlank="1" showInputMessage="1" showErrorMessage="1" sqref="B9" xr:uid="{35590DC6-FF42-4937-B7D7-F972D85C5090}">
      <formula1>$J$4:$J$45</formula1>
    </dataValidation>
    <dataValidation type="list" allowBlank="1" showInputMessage="1" showErrorMessage="1" sqref="B25" xr:uid="{1457603F-BC23-405D-A6E6-ABE552F650CE}">
      <formula1>"1,2,3,4,5,6,7,8"</formula1>
    </dataValidation>
    <dataValidation type="list" allowBlank="1" showInputMessage="1" showErrorMessage="1" sqref="B30" xr:uid="{613B79B2-69FC-4C63-B686-F6D41E6F566F}">
      <formula1>"209.50, 63.00, 50.00, 43.00, 40.00"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H22"/>
  <sheetViews>
    <sheetView showGridLines="0" workbookViewId="0">
      <selection activeCell="D14" sqref="D14"/>
    </sheetView>
  </sheetViews>
  <sheetFormatPr defaultRowHeight="15"/>
  <cols>
    <col min="1" max="1" width="33.85546875" customWidth="1"/>
    <col min="2" max="2" width="19.5703125" customWidth="1"/>
    <col min="3" max="3" width="18" customWidth="1"/>
    <col min="4" max="4" width="34" customWidth="1"/>
    <col min="5" max="19" width="18" customWidth="1"/>
  </cols>
  <sheetData>
    <row r="1" spans="1:8" ht="24" customHeight="1">
      <c r="A1" s="77" t="s">
        <v>52</v>
      </c>
      <c r="B1" s="78"/>
      <c r="C1" s="78"/>
      <c r="D1" s="78"/>
      <c r="E1" s="78"/>
      <c r="F1" s="78"/>
      <c r="G1" s="78"/>
      <c r="H1" s="78"/>
    </row>
    <row r="3" spans="1:8">
      <c r="A3" s="79" t="s">
        <v>53</v>
      </c>
      <c r="B3" s="78"/>
      <c r="C3" s="78"/>
      <c r="D3" s="78"/>
      <c r="E3" s="78"/>
    </row>
    <row r="4" spans="1:8">
      <c r="A4" s="13" t="s">
        <v>54</v>
      </c>
      <c r="B4" s="13" t="s">
        <v>55</v>
      </c>
      <c r="C4" s="13" t="s">
        <v>56</v>
      </c>
      <c r="D4" s="13" t="s">
        <v>57</v>
      </c>
    </row>
    <row r="5" spans="1:8">
      <c r="A5" s="61" t="s">
        <v>919</v>
      </c>
      <c r="B5" s="4">
        <f>User_Inputs!B18</f>
        <v>0</v>
      </c>
      <c r="C5" t="s">
        <v>59</v>
      </c>
      <c r="D5" t="s">
        <v>58</v>
      </c>
    </row>
    <row r="6" spans="1:8">
      <c r="A6" s="61" t="s">
        <v>918</v>
      </c>
      <c r="B6" s="8">
        <v>556000</v>
      </c>
      <c r="C6" t="s">
        <v>61</v>
      </c>
      <c r="D6" t="s">
        <v>133</v>
      </c>
      <c r="E6" t="s">
        <v>60</v>
      </c>
    </row>
    <row r="7" spans="1:8">
      <c r="A7" s="61" t="s">
        <v>62</v>
      </c>
      <c r="B7" s="67">
        <f>IF(B5&gt;0, B6/B5, User_Inputs!B30)</f>
        <v>209.5</v>
      </c>
      <c r="C7" t="s">
        <v>63</v>
      </c>
      <c r="D7" t="s">
        <v>64</v>
      </c>
    </row>
    <row r="8" spans="1:8">
      <c r="A8" t="s">
        <v>65</v>
      </c>
      <c r="B8" s="4">
        <v>30</v>
      </c>
      <c r="C8" t="s">
        <v>66</v>
      </c>
    </row>
    <row r="9" spans="1:8">
      <c r="A9" t="s">
        <v>67</v>
      </c>
      <c r="B9" s="14">
        <f>IF(B5&gt;0,B5,IFERROR(B6/B7,0))</f>
        <v>2653.9379474940333</v>
      </c>
      <c r="C9" t="s">
        <v>59</v>
      </c>
      <c r="D9">
        <f>IF(B5&gt;0,B5,IFERROR(B6/B7,0))</f>
        <v>2653.9379474940333</v>
      </c>
    </row>
    <row r="10" spans="1:8">
      <c r="A10" t="s">
        <v>68</v>
      </c>
      <c r="B10" s="14">
        <f>IF(B5&gt;0,B5,IFERROR(B6/B7,0))</f>
        <v>2653.9379474940333</v>
      </c>
      <c r="C10" t="s">
        <v>59</v>
      </c>
      <c r="D10">
        <f>IF(B5&gt;0,B5,B9)</f>
        <v>2653.9379474940333</v>
      </c>
    </row>
    <row r="11" spans="1:8">
      <c r="B11" s="34">
        <f>IF(B5&gt;0,B5,B10)</f>
        <v>2653.9379474940333</v>
      </c>
    </row>
    <row r="13" spans="1:8">
      <c r="A13" t="s">
        <v>929</v>
      </c>
      <c r="B13" s="69">
        <f>Appliance_Input!L5*B7</f>
        <v>50625.675000000003</v>
      </c>
    </row>
    <row r="16" spans="1:8">
      <c r="B16" s="68"/>
    </row>
    <row r="22" spans="4:4">
      <c r="D22" s="51"/>
    </row>
  </sheetData>
  <mergeCells count="2">
    <mergeCell ref="A3:E3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DA76-EF60-47F1-A89B-6F0D4D6A6522}">
  <sheetPr>
    <tabColor theme="9" tint="0.59999389629810485"/>
  </sheetPr>
  <dimension ref="A1:H16"/>
  <sheetViews>
    <sheetView workbookViewId="0">
      <selection activeCell="E18" sqref="E18"/>
    </sheetView>
  </sheetViews>
  <sheetFormatPr defaultRowHeight="15"/>
  <cols>
    <col min="1" max="1" width="27.28515625" customWidth="1"/>
    <col min="2" max="2" width="13.5703125" customWidth="1"/>
    <col min="3" max="3" width="13.140625" customWidth="1"/>
    <col min="4" max="4" width="21.85546875" customWidth="1"/>
    <col min="5" max="5" width="11.85546875" customWidth="1"/>
    <col min="6" max="6" width="13.28515625" customWidth="1"/>
    <col min="7" max="7" width="20.140625" customWidth="1"/>
    <col min="8" max="8" width="44.140625" customWidth="1"/>
  </cols>
  <sheetData>
    <row r="1" spans="1:8" ht="19.5" customHeight="1">
      <c r="A1" s="36" t="s">
        <v>398</v>
      </c>
      <c r="B1" s="36" t="s">
        <v>397</v>
      </c>
      <c r="C1" s="36" t="s">
        <v>145</v>
      </c>
      <c r="D1" s="36" t="s">
        <v>146</v>
      </c>
      <c r="E1" s="36" t="s">
        <v>147</v>
      </c>
      <c r="F1" s="36" t="s">
        <v>149</v>
      </c>
      <c r="G1" s="36" t="s">
        <v>372</v>
      </c>
      <c r="H1" s="36" t="s">
        <v>50</v>
      </c>
    </row>
    <row r="2" spans="1:8">
      <c r="A2" s="38" t="s">
        <v>373</v>
      </c>
      <c r="B2" s="38">
        <v>10</v>
      </c>
      <c r="C2" s="38">
        <v>6</v>
      </c>
      <c r="D2" s="38" t="s">
        <v>155</v>
      </c>
      <c r="E2" s="38">
        <v>1</v>
      </c>
      <c r="F2" s="38">
        <v>1</v>
      </c>
      <c r="G2" s="38" t="s">
        <v>98</v>
      </c>
      <c r="H2" s="38" t="s">
        <v>374</v>
      </c>
    </row>
    <row r="3" spans="1:8">
      <c r="A3" s="38" t="s">
        <v>75</v>
      </c>
      <c r="B3" s="38">
        <v>60</v>
      </c>
      <c r="C3" s="38">
        <v>8</v>
      </c>
      <c r="D3" s="38" t="s">
        <v>155</v>
      </c>
      <c r="E3" s="38">
        <v>1</v>
      </c>
      <c r="F3" s="38">
        <v>1.2</v>
      </c>
      <c r="G3" s="38" t="s">
        <v>157</v>
      </c>
      <c r="H3" s="38" t="s">
        <v>375</v>
      </c>
    </row>
    <row r="4" spans="1:8">
      <c r="A4" s="38" t="s">
        <v>376</v>
      </c>
      <c r="B4" s="38">
        <v>100</v>
      </c>
      <c r="C4" s="38">
        <v>6</v>
      </c>
      <c r="D4" s="38" t="s">
        <v>155</v>
      </c>
      <c r="E4" s="38">
        <v>1</v>
      </c>
      <c r="F4" s="38">
        <v>1.2</v>
      </c>
      <c r="G4" s="38" t="s">
        <v>157</v>
      </c>
      <c r="H4" s="38" t="s">
        <v>72</v>
      </c>
    </row>
    <row r="5" spans="1:8">
      <c r="A5" s="38" t="s">
        <v>74</v>
      </c>
      <c r="B5" s="38">
        <v>15</v>
      </c>
      <c r="C5" s="38">
        <v>24</v>
      </c>
      <c r="D5" s="38" t="s">
        <v>155</v>
      </c>
      <c r="E5" s="38">
        <v>1</v>
      </c>
      <c r="F5" s="38">
        <v>1</v>
      </c>
      <c r="G5" s="38" t="s">
        <v>98</v>
      </c>
      <c r="H5" s="38" t="s">
        <v>377</v>
      </c>
    </row>
    <row r="6" spans="1:8">
      <c r="A6" s="38" t="s">
        <v>76</v>
      </c>
      <c r="B6" s="38">
        <v>150</v>
      </c>
      <c r="C6" s="38">
        <v>24</v>
      </c>
      <c r="D6" s="38" t="s">
        <v>160</v>
      </c>
      <c r="E6" s="38">
        <v>0.4</v>
      </c>
      <c r="F6" s="38">
        <v>2</v>
      </c>
      <c r="G6" s="38" t="s">
        <v>98</v>
      </c>
      <c r="H6" s="38" t="s">
        <v>378</v>
      </c>
    </row>
    <row r="7" spans="1:8">
      <c r="A7" s="38" t="s">
        <v>379</v>
      </c>
      <c r="B7" s="38">
        <v>250</v>
      </c>
      <c r="C7" s="38">
        <v>24</v>
      </c>
      <c r="D7" s="38" t="s">
        <v>160</v>
      </c>
      <c r="E7" s="38">
        <v>0.45</v>
      </c>
      <c r="F7" s="38">
        <v>2.5</v>
      </c>
      <c r="G7" s="38" t="s">
        <v>157</v>
      </c>
      <c r="H7" s="38" t="s">
        <v>380</v>
      </c>
    </row>
    <row r="8" spans="1:8">
      <c r="A8" s="38" t="s">
        <v>167</v>
      </c>
      <c r="B8" s="38">
        <v>900</v>
      </c>
      <c r="C8" s="38">
        <v>5</v>
      </c>
      <c r="D8" s="38" t="s">
        <v>168</v>
      </c>
      <c r="E8" s="38">
        <v>0.6</v>
      </c>
      <c r="F8" s="38">
        <v>3</v>
      </c>
      <c r="G8" s="38" t="s">
        <v>157</v>
      </c>
      <c r="H8" s="38" t="s">
        <v>381</v>
      </c>
    </row>
    <row r="9" spans="1:8">
      <c r="A9" s="38" t="s">
        <v>181</v>
      </c>
      <c r="B9" s="38">
        <v>1200</v>
      </c>
      <c r="C9" s="38">
        <v>5</v>
      </c>
      <c r="D9" s="38" t="s">
        <v>168</v>
      </c>
      <c r="E9" s="38">
        <v>0.6</v>
      </c>
      <c r="F9" s="38">
        <v>3.5</v>
      </c>
      <c r="G9" s="38" t="s">
        <v>157</v>
      </c>
      <c r="H9" s="38" t="s">
        <v>382</v>
      </c>
    </row>
    <row r="10" spans="1:8">
      <c r="A10" s="38" t="s">
        <v>383</v>
      </c>
      <c r="B10" s="38">
        <v>1100</v>
      </c>
      <c r="C10" s="38">
        <v>1</v>
      </c>
      <c r="D10" s="38" t="s">
        <v>159</v>
      </c>
      <c r="E10" s="38">
        <v>1</v>
      </c>
      <c r="F10" s="38">
        <v>3</v>
      </c>
      <c r="G10" s="38" t="s">
        <v>98</v>
      </c>
      <c r="H10" s="38" t="s">
        <v>384</v>
      </c>
    </row>
    <row r="11" spans="1:8">
      <c r="A11" s="38" t="s">
        <v>385</v>
      </c>
      <c r="B11" s="38">
        <v>300</v>
      </c>
      <c r="C11" s="38">
        <v>24</v>
      </c>
      <c r="D11" s="38" t="s">
        <v>160</v>
      </c>
      <c r="E11" s="38">
        <v>0.5</v>
      </c>
      <c r="F11" s="38">
        <v>2.5</v>
      </c>
      <c r="G11" s="38" t="s">
        <v>98</v>
      </c>
      <c r="H11" s="38" t="s">
        <v>386</v>
      </c>
    </row>
    <row r="12" spans="1:8">
      <c r="A12" s="38" t="s">
        <v>387</v>
      </c>
      <c r="B12" s="38">
        <v>180</v>
      </c>
      <c r="C12" s="38">
        <v>24</v>
      </c>
      <c r="D12" s="38" t="s">
        <v>160</v>
      </c>
      <c r="E12" s="38">
        <v>0.45</v>
      </c>
      <c r="F12" s="38">
        <v>2</v>
      </c>
      <c r="G12" s="38" t="s">
        <v>98</v>
      </c>
      <c r="H12" s="38" t="s">
        <v>388</v>
      </c>
    </row>
    <row r="13" spans="1:8">
      <c r="A13" s="38" t="s">
        <v>389</v>
      </c>
      <c r="B13" s="38">
        <v>120</v>
      </c>
      <c r="C13" s="38">
        <v>8</v>
      </c>
      <c r="D13" s="38" t="s">
        <v>155</v>
      </c>
      <c r="E13" s="38">
        <v>1</v>
      </c>
      <c r="F13" s="38">
        <v>1.2</v>
      </c>
      <c r="G13" s="38" t="s">
        <v>98</v>
      </c>
      <c r="H13" s="38" t="s">
        <v>390</v>
      </c>
    </row>
    <row r="14" spans="1:8">
      <c r="A14" s="38" t="s">
        <v>391</v>
      </c>
      <c r="B14" s="38">
        <v>100</v>
      </c>
      <c r="C14" s="38">
        <v>24</v>
      </c>
      <c r="D14" s="38" t="s">
        <v>155</v>
      </c>
      <c r="E14" s="38">
        <v>1</v>
      </c>
      <c r="F14" s="38">
        <v>1</v>
      </c>
      <c r="G14" s="38" t="s">
        <v>98</v>
      </c>
      <c r="H14" s="38" t="s">
        <v>392</v>
      </c>
    </row>
    <row r="15" spans="1:8">
      <c r="A15" s="38" t="s">
        <v>393</v>
      </c>
      <c r="B15" s="38">
        <v>1500</v>
      </c>
      <c r="C15" s="38">
        <v>4</v>
      </c>
      <c r="D15" s="38" t="s">
        <v>155</v>
      </c>
      <c r="E15" s="38">
        <v>1</v>
      </c>
      <c r="F15" s="38">
        <v>3</v>
      </c>
      <c r="G15" s="38" t="s">
        <v>394</v>
      </c>
      <c r="H15" s="38" t="s">
        <v>395</v>
      </c>
    </row>
    <row r="16" spans="1:8">
      <c r="A16" s="38" t="s">
        <v>295</v>
      </c>
      <c r="B16" s="38">
        <v>3000</v>
      </c>
      <c r="C16" s="38">
        <v>4</v>
      </c>
      <c r="D16" s="38" t="s">
        <v>168</v>
      </c>
      <c r="E16" s="38">
        <v>0.6</v>
      </c>
      <c r="F16" s="38">
        <v>3</v>
      </c>
      <c r="G16" s="38" t="s">
        <v>394</v>
      </c>
      <c r="H16" s="38" t="s">
        <v>396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AD74-4E15-4C80-BCCD-59D19DC2FD1E}">
  <sheetPr>
    <tabColor theme="9" tint="0.59999389629810485"/>
  </sheetPr>
  <dimension ref="A1:E7"/>
  <sheetViews>
    <sheetView topLeftCell="B6" workbookViewId="0">
      <selection activeCell="C23" sqref="C23"/>
    </sheetView>
  </sheetViews>
  <sheetFormatPr defaultRowHeight="15"/>
  <cols>
    <col min="1" max="1" width="21.5703125" customWidth="1"/>
    <col min="2" max="2" width="45.42578125" customWidth="1"/>
    <col min="3" max="3" width="36.140625" customWidth="1"/>
    <col min="4" max="4" width="38.140625" customWidth="1"/>
    <col min="5" max="5" width="33.28515625" customWidth="1"/>
  </cols>
  <sheetData>
    <row r="1" spans="1:5">
      <c r="A1" s="36" t="s">
        <v>419</v>
      </c>
      <c r="B1" s="36" t="s">
        <v>939</v>
      </c>
      <c r="C1" s="36" t="s">
        <v>940</v>
      </c>
      <c r="D1" s="36" t="s">
        <v>941</v>
      </c>
      <c r="E1" s="36" t="s">
        <v>942</v>
      </c>
    </row>
    <row r="2" spans="1:5">
      <c r="A2" s="38" t="s">
        <v>103</v>
      </c>
      <c r="B2" s="38"/>
      <c r="C2" s="38"/>
      <c r="D2" s="38"/>
      <c r="E2" s="38"/>
    </row>
    <row r="3" spans="1:5">
      <c r="A3" s="38" t="s">
        <v>19</v>
      </c>
      <c r="B3" s="38"/>
      <c r="C3" s="38"/>
      <c r="D3" s="38"/>
      <c r="E3" s="38"/>
    </row>
    <row r="4" spans="1:5">
      <c r="A4" s="38" t="s">
        <v>78</v>
      </c>
      <c r="B4" s="38"/>
      <c r="C4" s="38"/>
      <c r="D4" s="38"/>
      <c r="E4" s="38"/>
    </row>
    <row r="5" spans="1:5">
      <c r="A5" s="38" t="s">
        <v>104</v>
      </c>
      <c r="B5" s="38"/>
      <c r="C5" s="38"/>
      <c r="D5" s="38"/>
      <c r="E5" s="38"/>
    </row>
    <row r="6" spans="1:5">
      <c r="A6" s="38" t="s">
        <v>106</v>
      </c>
      <c r="B6" s="38"/>
      <c r="C6" s="38"/>
      <c r="D6" s="38"/>
      <c r="E6" s="38"/>
    </row>
    <row r="7" spans="1:5">
      <c r="A7" s="38" t="s">
        <v>102</v>
      </c>
      <c r="B7" s="38"/>
      <c r="C7" s="38"/>
      <c r="D7" s="38"/>
      <c r="E7" s="3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O312"/>
  <sheetViews>
    <sheetView showGridLines="0" workbookViewId="0">
      <selection activeCell="D26" sqref="D26"/>
    </sheetView>
  </sheetViews>
  <sheetFormatPr defaultRowHeight="15"/>
  <cols>
    <col min="1" max="1" width="18" customWidth="1"/>
    <col min="2" max="2" width="44.5703125" customWidth="1"/>
    <col min="3" max="3" width="18" customWidth="1"/>
    <col min="4" max="4" width="33.85546875" customWidth="1"/>
    <col min="5" max="5" width="18" customWidth="1"/>
    <col min="6" max="6" width="20.140625" customWidth="1"/>
    <col min="7" max="19" width="18" customWidth="1"/>
  </cols>
  <sheetData>
    <row r="1" spans="1:15" ht="24" customHeight="1">
      <c r="A1" s="77" t="s">
        <v>69</v>
      </c>
      <c r="B1" s="78"/>
      <c r="C1" s="78"/>
      <c r="D1" s="78"/>
      <c r="E1" s="78"/>
      <c r="F1" s="78"/>
      <c r="G1" s="78"/>
      <c r="H1" s="78"/>
    </row>
    <row r="3" spans="1:15" ht="30">
      <c r="A3" s="36" t="s">
        <v>139</v>
      </c>
      <c r="B3" s="36" t="s">
        <v>140</v>
      </c>
      <c r="C3" s="36" t="s">
        <v>141</v>
      </c>
      <c r="D3" s="36" t="s">
        <v>142</v>
      </c>
      <c r="E3" s="37" t="s">
        <v>143</v>
      </c>
      <c r="F3" s="37" t="s">
        <v>144</v>
      </c>
      <c r="G3" s="37" t="s">
        <v>145</v>
      </c>
      <c r="H3" s="37" t="s">
        <v>147</v>
      </c>
      <c r="I3" s="36" t="s">
        <v>148</v>
      </c>
      <c r="J3" s="37" t="s">
        <v>149</v>
      </c>
      <c r="K3" s="37" t="s">
        <v>150</v>
      </c>
      <c r="L3" s="37" t="s">
        <v>87</v>
      </c>
      <c r="M3" s="37" t="s">
        <v>151</v>
      </c>
      <c r="N3" s="37" t="s">
        <v>152</v>
      </c>
      <c r="O3" s="36" t="s">
        <v>50</v>
      </c>
    </row>
    <row r="4" spans="1:15">
      <c r="A4" s="38" t="s">
        <v>103</v>
      </c>
      <c r="B4" s="38" t="s">
        <v>161</v>
      </c>
      <c r="C4" s="38" t="s">
        <v>162</v>
      </c>
      <c r="D4" s="38" t="s">
        <v>154</v>
      </c>
      <c r="E4" s="38">
        <v>6</v>
      </c>
      <c r="F4" s="38">
        <v>10</v>
      </c>
      <c r="G4" s="38">
        <v>6</v>
      </c>
      <c r="H4" s="38">
        <v>1</v>
      </c>
      <c r="I4" s="38" t="s">
        <v>98</v>
      </c>
      <c r="J4" s="38">
        <v>1</v>
      </c>
      <c r="K4" s="38">
        <f t="shared" ref="K4:K33" si="0">E4*F4*G4*H4</f>
        <v>360</v>
      </c>
      <c r="L4" s="38">
        <f t="shared" ref="L4:L33" si="1">K4/1000</f>
        <v>0.36</v>
      </c>
      <c r="M4" s="38">
        <f t="shared" ref="M4:M33" si="2">E4*F4</f>
        <v>60</v>
      </c>
      <c r="N4" s="38">
        <f t="shared" ref="N4:N33" si="3">M4*J4</f>
        <v>60</v>
      </c>
      <c r="O4" s="38"/>
    </row>
    <row r="5" spans="1:15">
      <c r="A5" s="38" t="s">
        <v>103</v>
      </c>
      <c r="B5" s="38" t="s">
        <v>161</v>
      </c>
      <c r="C5" s="38" t="s">
        <v>162</v>
      </c>
      <c r="D5" s="38" t="s">
        <v>156</v>
      </c>
      <c r="E5" s="38">
        <v>2</v>
      </c>
      <c r="F5" s="38">
        <v>60</v>
      </c>
      <c r="G5" s="38">
        <v>8</v>
      </c>
      <c r="H5" s="38">
        <v>1</v>
      </c>
      <c r="I5" s="38" t="s">
        <v>98</v>
      </c>
      <c r="J5" s="38">
        <v>1.2</v>
      </c>
      <c r="K5" s="38">
        <f t="shared" si="0"/>
        <v>960</v>
      </c>
      <c r="L5" s="38">
        <f t="shared" si="1"/>
        <v>0.96</v>
      </c>
      <c r="M5" s="38">
        <f t="shared" si="2"/>
        <v>120</v>
      </c>
      <c r="N5" s="38">
        <f t="shared" si="3"/>
        <v>144</v>
      </c>
      <c r="O5" s="38"/>
    </row>
    <row r="6" spans="1:15">
      <c r="A6" s="38" t="s">
        <v>103</v>
      </c>
      <c r="B6" s="38" t="s">
        <v>161</v>
      </c>
      <c r="C6" s="38" t="s">
        <v>162</v>
      </c>
      <c r="D6" s="38" t="s">
        <v>71</v>
      </c>
      <c r="E6" s="38">
        <v>1</v>
      </c>
      <c r="F6" s="38">
        <v>100</v>
      </c>
      <c r="G6" s="38">
        <v>6</v>
      </c>
      <c r="H6" s="38">
        <v>1</v>
      </c>
      <c r="I6" s="38" t="s">
        <v>157</v>
      </c>
      <c r="J6" s="38">
        <v>1.2</v>
      </c>
      <c r="K6" s="38">
        <f t="shared" si="0"/>
        <v>600</v>
      </c>
      <c r="L6" s="38">
        <f t="shared" si="1"/>
        <v>0.6</v>
      </c>
      <c r="M6" s="38">
        <f t="shared" si="2"/>
        <v>100</v>
      </c>
      <c r="N6" s="38">
        <f t="shared" si="3"/>
        <v>120</v>
      </c>
      <c r="O6" s="38"/>
    </row>
    <row r="7" spans="1:15">
      <c r="A7" s="38" t="s">
        <v>103</v>
      </c>
      <c r="B7" s="38" t="s">
        <v>161</v>
      </c>
      <c r="C7" s="38" t="s">
        <v>162</v>
      </c>
      <c r="D7" s="38" t="s">
        <v>134</v>
      </c>
      <c r="E7" s="38">
        <v>1</v>
      </c>
      <c r="F7" s="38">
        <v>25</v>
      </c>
      <c r="G7" s="38">
        <v>6</v>
      </c>
      <c r="H7" s="38">
        <v>1</v>
      </c>
      <c r="I7" s="38" t="s">
        <v>157</v>
      </c>
      <c r="J7" s="38">
        <v>1</v>
      </c>
      <c r="K7" s="38">
        <f t="shared" si="0"/>
        <v>150</v>
      </c>
      <c r="L7" s="38">
        <f t="shared" si="1"/>
        <v>0.15</v>
      </c>
      <c r="M7" s="38">
        <f t="shared" si="2"/>
        <v>25</v>
      </c>
      <c r="N7" s="38">
        <f t="shared" si="3"/>
        <v>25</v>
      </c>
      <c r="O7" s="38"/>
    </row>
    <row r="8" spans="1:15">
      <c r="A8" s="38" t="s">
        <v>103</v>
      </c>
      <c r="B8" s="38" t="s">
        <v>161</v>
      </c>
      <c r="C8" s="38" t="s">
        <v>162</v>
      </c>
      <c r="D8" s="38" t="s">
        <v>76</v>
      </c>
      <c r="E8" s="38">
        <v>1</v>
      </c>
      <c r="F8" s="38">
        <v>150</v>
      </c>
      <c r="G8" s="38">
        <v>24</v>
      </c>
      <c r="H8" s="38">
        <v>0.4</v>
      </c>
      <c r="I8" s="38" t="s">
        <v>98</v>
      </c>
      <c r="J8" s="38">
        <v>2</v>
      </c>
      <c r="K8" s="38">
        <f t="shared" si="0"/>
        <v>1440</v>
      </c>
      <c r="L8" s="38">
        <f t="shared" si="1"/>
        <v>1.44</v>
      </c>
      <c r="M8" s="38">
        <f t="shared" si="2"/>
        <v>150</v>
      </c>
      <c r="N8" s="38">
        <f t="shared" si="3"/>
        <v>300</v>
      </c>
      <c r="O8" s="38"/>
    </row>
    <row r="9" spans="1:15">
      <c r="A9" s="38" t="s">
        <v>103</v>
      </c>
      <c r="B9" s="38" t="s">
        <v>161</v>
      </c>
      <c r="C9" s="38" t="s">
        <v>162</v>
      </c>
      <c r="D9" s="38" t="s">
        <v>136</v>
      </c>
      <c r="E9" s="38">
        <v>1</v>
      </c>
      <c r="F9" s="38">
        <v>15</v>
      </c>
      <c r="G9" s="38">
        <v>24</v>
      </c>
      <c r="H9" s="38">
        <v>1</v>
      </c>
      <c r="I9" s="38" t="s">
        <v>98</v>
      </c>
      <c r="J9" s="38">
        <v>1</v>
      </c>
      <c r="K9" s="38">
        <f t="shared" si="0"/>
        <v>360</v>
      </c>
      <c r="L9" s="38">
        <f t="shared" si="1"/>
        <v>0.36</v>
      </c>
      <c r="M9" s="38">
        <f t="shared" si="2"/>
        <v>15</v>
      </c>
      <c r="N9" s="38">
        <f t="shared" si="3"/>
        <v>15</v>
      </c>
      <c r="O9" s="38"/>
    </row>
    <row r="10" spans="1:15">
      <c r="A10" s="38" t="s">
        <v>103</v>
      </c>
      <c r="B10" s="38" t="s">
        <v>161</v>
      </c>
      <c r="C10" s="38" t="s">
        <v>162</v>
      </c>
      <c r="D10" s="38" t="s">
        <v>73</v>
      </c>
      <c r="E10" s="38">
        <v>1</v>
      </c>
      <c r="F10" s="38">
        <v>65</v>
      </c>
      <c r="G10" s="38">
        <v>5</v>
      </c>
      <c r="H10" s="38">
        <v>1</v>
      </c>
      <c r="I10" s="38" t="s">
        <v>157</v>
      </c>
      <c r="J10" s="38">
        <v>1</v>
      </c>
      <c r="K10" s="38">
        <f t="shared" si="0"/>
        <v>325</v>
      </c>
      <c r="L10" s="38">
        <f t="shared" si="1"/>
        <v>0.32500000000000001</v>
      </c>
      <c r="M10" s="38">
        <f t="shared" si="2"/>
        <v>65</v>
      </c>
      <c r="N10" s="38">
        <f t="shared" si="3"/>
        <v>65</v>
      </c>
      <c r="O10" s="38"/>
    </row>
    <row r="11" spans="1:15">
      <c r="A11" s="38" t="s">
        <v>103</v>
      </c>
      <c r="B11" s="38" t="s">
        <v>161</v>
      </c>
      <c r="C11" s="38" t="s">
        <v>162</v>
      </c>
      <c r="D11" s="38" t="s">
        <v>138</v>
      </c>
      <c r="E11" s="38">
        <v>2</v>
      </c>
      <c r="F11" s="38">
        <v>10</v>
      </c>
      <c r="G11" s="38">
        <v>3</v>
      </c>
      <c r="H11" s="38">
        <v>1</v>
      </c>
      <c r="I11" s="38" t="s">
        <v>98</v>
      </c>
      <c r="J11" s="38">
        <v>1</v>
      </c>
      <c r="K11" s="38">
        <f t="shared" si="0"/>
        <v>60</v>
      </c>
      <c r="L11" s="38">
        <f t="shared" si="1"/>
        <v>0.06</v>
      </c>
      <c r="M11" s="38">
        <f t="shared" si="2"/>
        <v>20</v>
      </c>
      <c r="N11" s="38">
        <f t="shared" si="3"/>
        <v>20</v>
      </c>
      <c r="O11" s="38"/>
    </row>
    <row r="12" spans="1:15">
      <c r="A12" s="38" t="s">
        <v>103</v>
      </c>
      <c r="B12" s="38" t="s">
        <v>161</v>
      </c>
      <c r="C12" s="38" t="s">
        <v>162</v>
      </c>
      <c r="D12" s="38" t="s">
        <v>131</v>
      </c>
      <c r="E12" s="38">
        <v>1</v>
      </c>
      <c r="F12" s="38">
        <v>1200</v>
      </c>
      <c r="G12" s="38">
        <v>0.15</v>
      </c>
      <c r="H12" s="38">
        <v>1</v>
      </c>
      <c r="I12" s="38" t="s">
        <v>97</v>
      </c>
      <c r="J12" s="38">
        <v>1</v>
      </c>
      <c r="K12" s="38">
        <f t="shared" si="0"/>
        <v>180</v>
      </c>
      <c r="L12" s="38">
        <f t="shared" si="1"/>
        <v>0.18</v>
      </c>
      <c r="M12" s="38">
        <f t="shared" si="2"/>
        <v>1200</v>
      </c>
      <c r="N12" s="38">
        <f t="shared" si="3"/>
        <v>1200</v>
      </c>
      <c r="O12" s="38"/>
    </row>
    <row r="13" spans="1:15">
      <c r="A13" s="38" t="s">
        <v>103</v>
      </c>
      <c r="B13" s="38" t="s">
        <v>164</v>
      </c>
      <c r="C13" s="38" t="s">
        <v>162</v>
      </c>
      <c r="D13" s="38" t="s">
        <v>154</v>
      </c>
      <c r="E13" s="38">
        <v>8</v>
      </c>
      <c r="F13" s="38">
        <v>10</v>
      </c>
      <c r="G13" s="38">
        <v>6</v>
      </c>
      <c r="H13" s="38">
        <v>1</v>
      </c>
      <c r="I13" s="38" t="s">
        <v>98</v>
      </c>
      <c r="J13" s="38">
        <v>1</v>
      </c>
      <c r="K13" s="38">
        <f t="shared" si="0"/>
        <v>480</v>
      </c>
      <c r="L13" s="38">
        <f t="shared" si="1"/>
        <v>0.48</v>
      </c>
      <c r="M13" s="38">
        <f t="shared" si="2"/>
        <v>80</v>
      </c>
      <c r="N13" s="38">
        <f t="shared" si="3"/>
        <v>80</v>
      </c>
      <c r="O13" s="38"/>
    </row>
    <row r="14" spans="1:15">
      <c r="A14" s="38" t="s">
        <v>103</v>
      </c>
      <c r="B14" s="38" t="s">
        <v>164</v>
      </c>
      <c r="C14" s="38" t="s">
        <v>162</v>
      </c>
      <c r="D14" s="38" t="s">
        <v>156</v>
      </c>
      <c r="E14" s="38">
        <v>2</v>
      </c>
      <c r="F14" s="38">
        <v>60</v>
      </c>
      <c r="G14" s="38">
        <v>8</v>
      </c>
      <c r="H14" s="38">
        <v>1</v>
      </c>
      <c r="I14" s="38" t="s">
        <v>98</v>
      </c>
      <c r="J14" s="38">
        <v>1.2</v>
      </c>
      <c r="K14" s="38">
        <f t="shared" si="0"/>
        <v>960</v>
      </c>
      <c r="L14" s="38">
        <f t="shared" si="1"/>
        <v>0.96</v>
      </c>
      <c r="M14" s="38">
        <f t="shared" si="2"/>
        <v>120</v>
      </c>
      <c r="N14" s="38">
        <f t="shared" si="3"/>
        <v>144</v>
      </c>
      <c r="O14" s="38"/>
    </row>
    <row r="15" spans="1:15">
      <c r="A15" s="38" t="s">
        <v>103</v>
      </c>
      <c r="B15" s="38" t="s">
        <v>164</v>
      </c>
      <c r="C15" s="38" t="s">
        <v>162</v>
      </c>
      <c r="D15" s="38" t="s">
        <v>71</v>
      </c>
      <c r="E15" s="38">
        <v>1</v>
      </c>
      <c r="F15" s="38">
        <v>100</v>
      </c>
      <c r="G15" s="38">
        <v>6</v>
      </c>
      <c r="H15" s="38">
        <v>1</v>
      </c>
      <c r="I15" s="38" t="s">
        <v>157</v>
      </c>
      <c r="J15" s="38">
        <v>1.2</v>
      </c>
      <c r="K15" s="38">
        <f t="shared" si="0"/>
        <v>600</v>
      </c>
      <c r="L15" s="38">
        <f t="shared" si="1"/>
        <v>0.6</v>
      </c>
      <c r="M15" s="38">
        <f t="shared" si="2"/>
        <v>100</v>
      </c>
      <c r="N15" s="38">
        <f t="shared" si="3"/>
        <v>120</v>
      </c>
      <c r="O15" s="38"/>
    </row>
    <row r="16" spans="1:15">
      <c r="A16" s="38" t="s">
        <v>103</v>
      </c>
      <c r="B16" s="38" t="s">
        <v>164</v>
      </c>
      <c r="C16" s="38" t="s">
        <v>162</v>
      </c>
      <c r="D16" s="38" t="s">
        <v>134</v>
      </c>
      <c r="E16" s="38">
        <v>1</v>
      </c>
      <c r="F16" s="38">
        <v>25</v>
      </c>
      <c r="G16" s="38">
        <v>6</v>
      </c>
      <c r="H16" s="38">
        <v>1</v>
      </c>
      <c r="I16" s="38" t="s">
        <v>157</v>
      </c>
      <c r="J16" s="38">
        <v>1</v>
      </c>
      <c r="K16" s="38">
        <f t="shared" si="0"/>
        <v>150</v>
      </c>
      <c r="L16" s="38">
        <f t="shared" si="1"/>
        <v>0.15</v>
      </c>
      <c r="M16" s="38">
        <f t="shared" si="2"/>
        <v>25</v>
      </c>
      <c r="N16" s="38">
        <f t="shared" si="3"/>
        <v>25</v>
      </c>
      <c r="O16" s="38"/>
    </row>
    <row r="17" spans="1:15">
      <c r="A17" s="38" t="s">
        <v>103</v>
      </c>
      <c r="B17" s="38" t="s">
        <v>164</v>
      </c>
      <c r="C17" s="38" t="s">
        <v>162</v>
      </c>
      <c r="D17" s="38" t="s">
        <v>76</v>
      </c>
      <c r="E17" s="38">
        <v>1</v>
      </c>
      <c r="F17" s="38">
        <v>150</v>
      </c>
      <c r="G17" s="38">
        <v>24</v>
      </c>
      <c r="H17" s="38">
        <v>0.4</v>
      </c>
      <c r="I17" s="38" t="s">
        <v>98</v>
      </c>
      <c r="J17" s="38">
        <v>2</v>
      </c>
      <c r="K17" s="38">
        <f t="shared" si="0"/>
        <v>1440</v>
      </c>
      <c r="L17" s="38">
        <f t="shared" si="1"/>
        <v>1.44</v>
      </c>
      <c r="M17" s="38">
        <f t="shared" si="2"/>
        <v>150</v>
      </c>
      <c r="N17" s="38">
        <f t="shared" si="3"/>
        <v>300</v>
      </c>
      <c r="O17" s="38"/>
    </row>
    <row r="18" spans="1:15">
      <c r="A18" s="38" t="s">
        <v>103</v>
      </c>
      <c r="B18" s="38" t="s">
        <v>164</v>
      </c>
      <c r="C18" s="38" t="s">
        <v>162</v>
      </c>
      <c r="D18" s="38" t="s">
        <v>136</v>
      </c>
      <c r="E18" s="38">
        <v>1</v>
      </c>
      <c r="F18" s="38">
        <v>15</v>
      </c>
      <c r="G18" s="38">
        <v>24</v>
      </c>
      <c r="H18" s="38">
        <v>1</v>
      </c>
      <c r="I18" s="38" t="s">
        <v>98</v>
      </c>
      <c r="J18" s="38">
        <v>1</v>
      </c>
      <c r="K18" s="38">
        <f t="shared" si="0"/>
        <v>360</v>
      </c>
      <c r="L18" s="38">
        <f t="shared" si="1"/>
        <v>0.36</v>
      </c>
      <c r="M18" s="38">
        <f t="shared" si="2"/>
        <v>15</v>
      </c>
      <c r="N18" s="38">
        <f t="shared" si="3"/>
        <v>15</v>
      </c>
      <c r="O18" s="38"/>
    </row>
    <row r="19" spans="1:15">
      <c r="A19" s="38" t="s">
        <v>103</v>
      </c>
      <c r="B19" s="38" t="s">
        <v>164</v>
      </c>
      <c r="C19" s="38" t="s">
        <v>162</v>
      </c>
      <c r="D19" s="38" t="s">
        <v>73</v>
      </c>
      <c r="E19" s="38">
        <v>1</v>
      </c>
      <c r="F19" s="38">
        <v>65</v>
      </c>
      <c r="G19" s="38">
        <v>5</v>
      </c>
      <c r="H19" s="38">
        <v>1</v>
      </c>
      <c r="I19" s="38" t="s">
        <v>157</v>
      </c>
      <c r="J19" s="38">
        <v>1</v>
      </c>
      <c r="K19" s="38">
        <f t="shared" si="0"/>
        <v>325</v>
      </c>
      <c r="L19" s="38">
        <f t="shared" si="1"/>
        <v>0.32500000000000001</v>
      </c>
      <c r="M19" s="38">
        <f t="shared" si="2"/>
        <v>65</v>
      </c>
      <c r="N19" s="38">
        <f t="shared" si="3"/>
        <v>65</v>
      </c>
      <c r="O19" s="38"/>
    </row>
    <row r="20" spans="1:15">
      <c r="A20" s="38" t="s">
        <v>103</v>
      </c>
      <c r="B20" s="38" t="s">
        <v>164</v>
      </c>
      <c r="C20" s="38" t="s">
        <v>162</v>
      </c>
      <c r="D20" s="38" t="s">
        <v>138</v>
      </c>
      <c r="E20" s="38">
        <v>3</v>
      </c>
      <c r="F20" s="38">
        <v>10</v>
      </c>
      <c r="G20" s="38">
        <v>3</v>
      </c>
      <c r="H20" s="38">
        <v>1</v>
      </c>
      <c r="I20" s="38" t="s">
        <v>98</v>
      </c>
      <c r="J20" s="38">
        <v>1</v>
      </c>
      <c r="K20" s="38">
        <f t="shared" si="0"/>
        <v>90</v>
      </c>
      <c r="L20" s="38">
        <f t="shared" si="1"/>
        <v>0.09</v>
      </c>
      <c r="M20" s="38">
        <f t="shared" si="2"/>
        <v>30</v>
      </c>
      <c r="N20" s="38">
        <f t="shared" si="3"/>
        <v>30</v>
      </c>
      <c r="O20" s="38"/>
    </row>
    <row r="21" spans="1:15">
      <c r="A21" s="38" t="s">
        <v>103</v>
      </c>
      <c r="B21" s="38" t="s">
        <v>164</v>
      </c>
      <c r="C21" s="38" t="s">
        <v>162</v>
      </c>
      <c r="D21" s="38" t="s">
        <v>131</v>
      </c>
      <c r="E21" s="38">
        <v>1</v>
      </c>
      <c r="F21" s="38">
        <v>1200</v>
      </c>
      <c r="G21" s="38">
        <v>0.2</v>
      </c>
      <c r="H21" s="38">
        <v>1</v>
      </c>
      <c r="I21" s="38" t="s">
        <v>97</v>
      </c>
      <c r="J21" s="38">
        <v>1</v>
      </c>
      <c r="K21" s="38">
        <f t="shared" si="0"/>
        <v>240</v>
      </c>
      <c r="L21" s="38">
        <f t="shared" si="1"/>
        <v>0.24</v>
      </c>
      <c r="M21" s="38">
        <f t="shared" si="2"/>
        <v>1200</v>
      </c>
      <c r="N21" s="38">
        <f t="shared" si="3"/>
        <v>1200</v>
      </c>
      <c r="O21" s="38"/>
    </row>
    <row r="22" spans="1:15">
      <c r="A22" s="38" t="s">
        <v>103</v>
      </c>
      <c r="B22" s="38" t="s">
        <v>164</v>
      </c>
      <c r="C22" s="38" t="s">
        <v>162</v>
      </c>
      <c r="D22" s="38" t="s">
        <v>165</v>
      </c>
      <c r="E22" s="38">
        <v>1</v>
      </c>
      <c r="F22" s="38">
        <v>500</v>
      </c>
      <c r="G22" s="38">
        <v>0.3</v>
      </c>
      <c r="H22" s="38">
        <v>1</v>
      </c>
      <c r="I22" s="38" t="s">
        <v>97</v>
      </c>
      <c r="J22" s="38">
        <v>1</v>
      </c>
      <c r="K22" s="38">
        <f t="shared" si="0"/>
        <v>150</v>
      </c>
      <c r="L22" s="38">
        <f t="shared" si="1"/>
        <v>0.15</v>
      </c>
      <c r="M22" s="38">
        <f t="shared" si="2"/>
        <v>500</v>
      </c>
      <c r="N22" s="38">
        <f t="shared" si="3"/>
        <v>500</v>
      </c>
      <c r="O22" s="38"/>
    </row>
    <row r="23" spans="1:15">
      <c r="A23" s="38" t="s">
        <v>103</v>
      </c>
      <c r="B23" s="38" t="s">
        <v>170</v>
      </c>
      <c r="C23" s="38" t="s">
        <v>162</v>
      </c>
      <c r="D23" s="38" t="s">
        <v>154</v>
      </c>
      <c r="E23" s="38">
        <v>12</v>
      </c>
      <c r="F23" s="38">
        <v>10</v>
      </c>
      <c r="G23" s="38">
        <v>6</v>
      </c>
      <c r="H23" s="38">
        <v>1</v>
      </c>
      <c r="I23" s="38" t="s">
        <v>98</v>
      </c>
      <c r="J23" s="38">
        <v>1</v>
      </c>
      <c r="K23" s="38">
        <f t="shared" si="0"/>
        <v>720</v>
      </c>
      <c r="L23" s="38">
        <f t="shared" si="1"/>
        <v>0.72</v>
      </c>
      <c r="M23" s="38">
        <f t="shared" si="2"/>
        <v>120</v>
      </c>
      <c r="N23" s="38">
        <f t="shared" si="3"/>
        <v>120</v>
      </c>
      <c r="O23" s="38"/>
    </row>
    <row r="24" spans="1:15">
      <c r="A24" s="38" t="s">
        <v>103</v>
      </c>
      <c r="B24" s="38" t="s">
        <v>170</v>
      </c>
      <c r="C24" s="38" t="s">
        <v>162</v>
      </c>
      <c r="D24" s="38" t="s">
        <v>156</v>
      </c>
      <c r="E24" s="38">
        <v>4</v>
      </c>
      <c r="F24" s="38">
        <v>60</v>
      </c>
      <c r="G24" s="38">
        <v>8</v>
      </c>
      <c r="H24" s="38">
        <v>1</v>
      </c>
      <c r="I24" s="38" t="s">
        <v>98</v>
      </c>
      <c r="J24" s="38">
        <v>1.2</v>
      </c>
      <c r="K24" s="38">
        <f t="shared" si="0"/>
        <v>1920</v>
      </c>
      <c r="L24" s="38">
        <f t="shared" si="1"/>
        <v>1.92</v>
      </c>
      <c r="M24" s="38">
        <f t="shared" si="2"/>
        <v>240</v>
      </c>
      <c r="N24" s="38">
        <f t="shared" si="3"/>
        <v>288</v>
      </c>
      <c r="O24" s="38"/>
    </row>
    <row r="25" spans="1:15">
      <c r="A25" s="38" t="s">
        <v>103</v>
      </c>
      <c r="B25" s="38" t="s">
        <v>170</v>
      </c>
      <c r="C25" s="38" t="s">
        <v>162</v>
      </c>
      <c r="D25" s="38" t="s">
        <v>71</v>
      </c>
      <c r="E25" s="38">
        <v>1</v>
      </c>
      <c r="F25" s="38">
        <v>100</v>
      </c>
      <c r="G25" s="38">
        <v>6</v>
      </c>
      <c r="H25" s="38">
        <v>1</v>
      </c>
      <c r="I25" s="38" t="s">
        <v>157</v>
      </c>
      <c r="J25" s="38">
        <v>1.2</v>
      </c>
      <c r="K25" s="38">
        <f t="shared" si="0"/>
        <v>600</v>
      </c>
      <c r="L25" s="38">
        <f t="shared" si="1"/>
        <v>0.6</v>
      </c>
      <c r="M25" s="38">
        <f t="shared" si="2"/>
        <v>100</v>
      </c>
      <c r="N25" s="38">
        <f t="shared" si="3"/>
        <v>120</v>
      </c>
      <c r="O25" s="38"/>
    </row>
    <row r="26" spans="1:15">
      <c r="A26" s="38" t="s">
        <v>103</v>
      </c>
      <c r="B26" s="38" t="s">
        <v>170</v>
      </c>
      <c r="C26" s="38" t="s">
        <v>162</v>
      </c>
      <c r="D26" s="38" t="s">
        <v>134</v>
      </c>
      <c r="E26" s="38">
        <v>1</v>
      </c>
      <c r="F26" s="38">
        <v>25</v>
      </c>
      <c r="G26" s="38">
        <v>6</v>
      </c>
      <c r="H26" s="38">
        <v>1</v>
      </c>
      <c r="I26" s="38" t="s">
        <v>157</v>
      </c>
      <c r="J26" s="38">
        <v>1</v>
      </c>
      <c r="K26" s="38">
        <f t="shared" si="0"/>
        <v>150</v>
      </c>
      <c r="L26" s="38">
        <f t="shared" si="1"/>
        <v>0.15</v>
      </c>
      <c r="M26" s="38">
        <f t="shared" si="2"/>
        <v>25</v>
      </c>
      <c r="N26" s="38">
        <f t="shared" si="3"/>
        <v>25</v>
      </c>
      <c r="O26" s="38"/>
    </row>
    <row r="27" spans="1:15">
      <c r="A27" s="38" t="s">
        <v>103</v>
      </c>
      <c r="B27" s="38" t="s">
        <v>170</v>
      </c>
      <c r="C27" s="38" t="s">
        <v>162</v>
      </c>
      <c r="D27" s="38" t="s">
        <v>76</v>
      </c>
      <c r="E27" s="38">
        <v>1</v>
      </c>
      <c r="F27" s="38">
        <v>150</v>
      </c>
      <c r="G27" s="38">
        <v>24</v>
      </c>
      <c r="H27" s="38">
        <v>0.4</v>
      </c>
      <c r="I27" s="38" t="s">
        <v>98</v>
      </c>
      <c r="J27" s="38">
        <v>2</v>
      </c>
      <c r="K27" s="38">
        <f t="shared" si="0"/>
        <v>1440</v>
      </c>
      <c r="L27" s="38">
        <f t="shared" si="1"/>
        <v>1.44</v>
      </c>
      <c r="M27" s="38">
        <f t="shared" si="2"/>
        <v>150</v>
      </c>
      <c r="N27" s="38">
        <f t="shared" si="3"/>
        <v>300</v>
      </c>
      <c r="O27" s="38"/>
    </row>
    <row r="28" spans="1:15">
      <c r="A28" s="38" t="s">
        <v>103</v>
      </c>
      <c r="B28" s="38" t="s">
        <v>170</v>
      </c>
      <c r="C28" s="38" t="s">
        <v>162</v>
      </c>
      <c r="D28" s="38" t="s">
        <v>136</v>
      </c>
      <c r="E28" s="38">
        <v>1</v>
      </c>
      <c r="F28" s="38">
        <v>15</v>
      </c>
      <c r="G28" s="38">
        <v>24</v>
      </c>
      <c r="H28" s="38">
        <v>1</v>
      </c>
      <c r="I28" s="38" t="s">
        <v>98</v>
      </c>
      <c r="J28" s="38">
        <v>1</v>
      </c>
      <c r="K28" s="38">
        <f t="shared" si="0"/>
        <v>360</v>
      </c>
      <c r="L28" s="38">
        <f t="shared" si="1"/>
        <v>0.36</v>
      </c>
      <c r="M28" s="38">
        <f t="shared" si="2"/>
        <v>15</v>
      </c>
      <c r="N28" s="38">
        <f t="shared" si="3"/>
        <v>15</v>
      </c>
      <c r="O28" s="38"/>
    </row>
    <row r="29" spans="1:15">
      <c r="A29" s="38" t="s">
        <v>103</v>
      </c>
      <c r="B29" s="38" t="s">
        <v>170</v>
      </c>
      <c r="C29" s="38" t="s">
        <v>162</v>
      </c>
      <c r="D29" s="38" t="s">
        <v>73</v>
      </c>
      <c r="E29" s="38">
        <v>2</v>
      </c>
      <c r="F29" s="38">
        <v>65</v>
      </c>
      <c r="G29" s="38">
        <v>5</v>
      </c>
      <c r="H29" s="38">
        <v>1</v>
      </c>
      <c r="I29" s="38" t="s">
        <v>157</v>
      </c>
      <c r="J29" s="38">
        <v>1</v>
      </c>
      <c r="K29" s="38">
        <f t="shared" si="0"/>
        <v>650</v>
      </c>
      <c r="L29" s="38">
        <f t="shared" si="1"/>
        <v>0.65</v>
      </c>
      <c r="M29" s="38">
        <f t="shared" si="2"/>
        <v>130</v>
      </c>
      <c r="N29" s="38">
        <f t="shared" si="3"/>
        <v>130</v>
      </c>
      <c r="O29" s="38"/>
    </row>
    <row r="30" spans="1:15">
      <c r="A30" s="38" t="s">
        <v>103</v>
      </c>
      <c r="B30" s="38" t="s">
        <v>170</v>
      </c>
      <c r="C30" s="38" t="s">
        <v>162</v>
      </c>
      <c r="D30" s="38" t="s">
        <v>138</v>
      </c>
      <c r="E30" s="38">
        <v>4</v>
      </c>
      <c r="F30" s="38">
        <v>10</v>
      </c>
      <c r="G30" s="38">
        <v>3</v>
      </c>
      <c r="H30" s="38">
        <v>1</v>
      </c>
      <c r="I30" s="38" t="s">
        <v>98</v>
      </c>
      <c r="J30" s="38">
        <v>1</v>
      </c>
      <c r="K30" s="38">
        <f t="shared" si="0"/>
        <v>120</v>
      </c>
      <c r="L30" s="38">
        <f t="shared" si="1"/>
        <v>0.12</v>
      </c>
      <c r="M30" s="38">
        <f t="shared" si="2"/>
        <v>40</v>
      </c>
      <c r="N30" s="38">
        <f t="shared" si="3"/>
        <v>40</v>
      </c>
      <c r="O30" s="38"/>
    </row>
    <row r="31" spans="1:15">
      <c r="A31" s="38" t="s">
        <v>103</v>
      </c>
      <c r="B31" s="38" t="s">
        <v>170</v>
      </c>
      <c r="C31" s="38" t="s">
        <v>162</v>
      </c>
      <c r="D31" s="38" t="s">
        <v>171</v>
      </c>
      <c r="E31" s="38">
        <v>1</v>
      </c>
      <c r="F31" s="38">
        <v>50</v>
      </c>
      <c r="G31" s="38">
        <v>2</v>
      </c>
      <c r="H31" s="38">
        <v>1</v>
      </c>
      <c r="I31" s="38" t="s">
        <v>97</v>
      </c>
      <c r="J31" s="38">
        <v>1</v>
      </c>
      <c r="K31" s="38">
        <f t="shared" si="0"/>
        <v>100</v>
      </c>
      <c r="L31" s="38">
        <f t="shared" si="1"/>
        <v>0.1</v>
      </c>
      <c r="M31" s="38">
        <f t="shared" si="2"/>
        <v>50</v>
      </c>
      <c r="N31" s="38">
        <f t="shared" si="3"/>
        <v>50</v>
      </c>
      <c r="O31" s="38"/>
    </row>
    <row r="32" spans="1:15">
      <c r="A32" s="38" t="s">
        <v>103</v>
      </c>
      <c r="B32" s="38" t="s">
        <v>170</v>
      </c>
      <c r="C32" s="38" t="s">
        <v>162</v>
      </c>
      <c r="D32" s="38" t="s">
        <v>131</v>
      </c>
      <c r="E32" s="38">
        <v>1</v>
      </c>
      <c r="F32" s="38">
        <v>1200</v>
      </c>
      <c r="G32" s="38">
        <v>0.3</v>
      </c>
      <c r="H32" s="38">
        <v>1</v>
      </c>
      <c r="I32" s="38" t="s">
        <v>97</v>
      </c>
      <c r="J32" s="38">
        <v>1</v>
      </c>
      <c r="K32" s="38">
        <f t="shared" si="0"/>
        <v>360</v>
      </c>
      <c r="L32" s="38">
        <f t="shared" si="1"/>
        <v>0.36</v>
      </c>
      <c r="M32" s="38">
        <f t="shared" si="2"/>
        <v>1200</v>
      </c>
      <c r="N32" s="38">
        <f t="shared" si="3"/>
        <v>1200</v>
      </c>
      <c r="O32" s="38"/>
    </row>
    <row r="33" spans="1:15">
      <c r="A33" s="38" t="s">
        <v>103</v>
      </c>
      <c r="B33" s="38" t="s">
        <v>170</v>
      </c>
      <c r="C33" s="38" t="s">
        <v>162</v>
      </c>
      <c r="D33" s="38" t="s">
        <v>99</v>
      </c>
      <c r="E33" s="38">
        <v>1</v>
      </c>
      <c r="F33" s="38">
        <v>750</v>
      </c>
      <c r="G33" s="38">
        <v>0.5</v>
      </c>
      <c r="H33" s="38">
        <v>1</v>
      </c>
      <c r="I33" s="38" t="s">
        <v>98</v>
      </c>
      <c r="J33" s="38">
        <v>3</v>
      </c>
      <c r="K33" s="38">
        <f t="shared" si="0"/>
        <v>375</v>
      </c>
      <c r="L33" s="38">
        <f t="shared" si="1"/>
        <v>0.375</v>
      </c>
      <c r="M33" s="38">
        <f t="shared" si="2"/>
        <v>750</v>
      </c>
      <c r="N33" s="38">
        <f t="shared" si="3"/>
        <v>2250</v>
      </c>
      <c r="O33" s="38"/>
    </row>
    <row r="34" spans="1:15">
      <c r="A34" s="38" t="s">
        <v>103</v>
      </c>
      <c r="B34" s="38" t="s">
        <v>174</v>
      </c>
      <c r="C34" s="38" t="s">
        <v>162</v>
      </c>
      <c r="D34" s="38" t="s">
        <v>154</v>
      </c>
      <c r="E34" s="38">
        <v>20</v>
      </c>
      <c r="F34" s="38">
        <v>10</v>
      </c>
      <c r="G34" s="38">
        <v>6</v>
      </c>
      <c r="H34" s="38">
        <v>1</v>
      </c>
      <c r="I34" s="38" t="s">
        <v>98</v>
      </c>
      <c r="J34" s="38">
        <v>1</v>
      </c>
      <c r="K34" s="38">
        <f t="shared" ref="K34:K54" si="4">E34*F34*G34*H34</f>
        <v>1200</v>
      </c>
      <c r="L34" s="38">
        <f t="shared" ref="L34:L54" si="5">K34/1000</f>
        <v>1.2</v>
      </c>
      <c r="M34" s="38">
        <f t="shared" ref="M34:M54" si="6">E34*F34</f>
        <v>200</v>
      </c>
      <c r="N34" s="38">
        <f t="shared" ref="N34:N54" si="7">M34*J34</f>
        <v>200</v>
      </c>
      <c r="O34" s="38"/>
    </row>
    <row r="35" spans="1:15">
      <c r="A35" s="38" t="s">
        <v>103</v>
      </c>
      <c r="B35" s="38" t="s">
        <v>174</v>
      </c>
      <c r="C35" s="38" t="s">
        <v>162</v>
      </c>
      <c r="D35" s="38" t="s">
        <v>156</v>
      </c>
      <c r="E35" s="38">
        <v>6</v>
      </c>
      <c r="F35" s="38">
        <v>60</v>
      </c>
      <c r="G35" s="38">
        <v>8</v>
      </c>
      <c r="H35" s="38">
        <v>1</v>
      </c>
      <c r="I35" s="38" t="s">
        <v>98</v>
      </c>
      <c r="J35" s="38">
        <v>1.2</v>
      </c>
      <c r="K35" s="38">
        <f t="shared" si="4"/>
        <v>2880</v>
      </c>
      <c r="L35" s="38">
        <f t="shared" si="5"/>
        <v>2.88</v>
      </c>
      <c r="M35" s="38">
        <f t="shared" si="6"/>
        <v>360</v>
      </c>
      <c r="N35" s="38">
        <f t="shared" si="7"/>
        <v>432</v>
      </c>
      <c r="O35" s="38"/>
    </row>
    <row r="36" spans="1:15">
      <c r="A36" s="38" t="s">
        <v>103</v>
      </c>
      <c r="B36" s="38" t="s">
        <v>174</v>
      </c>
      <c r="C36" s="38" t="s">
        <v>162</v>
      </c>
      <c r="D36" s="38" t="s">
        <v>71</v>
      </c>
      <c r="E36" s="38">
        <v>2</v>
      </c>
      <c r="F36" s="38">
        <v>100</v>
      </c>
      <c r="G36" s="38">
        <v>6</v>
      </c>
      <c r="H36" s="38">
        <v>1</v>
      </c>
      <c r="I36" s="38" t="s">
        <v>157</v>
      </c>
      <c r="J36" s="38">
        <v>1.2</v>
      </c>
      <c r="K36" s="38">
        <f t="shared" si="4"/>
        <v>1200</v>
      </c>
      <c r="L36" s="38">
        <f t="shared" si="5"/>
        <v>1.2</v>
      </c>
      <c r="M36" s="38">
        <f t="shared" si="6"/>
        <v>200</v>
      </c>
      <c r="N36" s="38">
        <f t="shared" si="7"/>
        <v>240</v>
      </c>
      <c r="O36" s="38"/>
    </row>
    <row r="37" spans="1:15">
      <c r="A37" s="38" t="s">
        <v>103</v>
      </c>
      <c r="B37" s="38" t="s">
        <v>174</v>
      </c>
      <c r="C37" s="38" t="s">
        <v>162</v>
      </c>
      <c r="D37" s="38" t="s">
        <v>134</v>
      </c>
      <c r="E37" s="38">
        <v>2</v>
      </c>
      <c r="F37" s="38">
        <v>25</v>
      </c>
      <c r="G37" s="38">
        <v>6</v>
      </c>
      <c r="H37" s="38">
        <v>1</v>
      </c>
      <c r="I37" s="38" t="s">
        <v>157</v>
      </c>
      <c r="J37" s="38">
        <v>1</v>
      </c>
      <c r="K37" s="38">
        <f t="shared" si="4"/>
        <v>300</v>
      </c>
      <c r="L37" s="38">
        <f t="shared" si="5"/>
        <v>0.3</v>
      </c>
      <c r="M37" s="38">
        <f t="shared" si="6"/>
        <v>50</v>
      </c>
      <c r="N37" s="38">
        <f t="shared" si="7"/>
        <v>50</v>
      </c>
      <c r="O37" s="38"/>
    </row>
    <row r="38" spans="1:15">
      <c r="A38" s="38" t="s">
        <v>103</v>
      </c>
      <c r="B38" s="38" t="s">
        <v>174</v>
      </c>
      <c r="C38" s="38" t="s">
        <v>162</v>
      </c>
      <c r="D38" s="38" t="s">
        <v>76</v>
      </c>
      <c r="E38" s="38">
        <v>1</v>
      </c>
      <c r="F38" s="38">
        <v>150</v>
      </c>
      <c r="G38" s="38">
        <v>24</v>
      </c>
      <c r="H38" s="38">
        <v>0.4</v>
      </c>
      <c r="I38" s="38" t="s">
        <v>98</v>
      </c>
      <c r="J38" s="38">
        <v>2</v>
      </c>
      <c r="K38" s="38">
        <f t="shared" si="4"/>
        <v>1440</v>
      </c>
      <c r="L38" s="38">
        <f t="shared" si="5"/>
        <v>1.44</v>
      </c>
      <c r="M38" s="38">
        <f t="shared" si="6"/>
        <v>150</v>
      </c>
      <c r="N38" s="38">
        <f t="shared" si="7"/>
        <v>300</v>
      </c>
      <c r="O38" s="38"/>
    </row>
    <row r="39" spans="1:15">
      <c r="A39" s="38" t="s">
        <v>103</v>
      </c>
      <c r="B39" s="38" t="s">
        <v>174</v>
      </c>
      <c r="C39" s="38" t="s">
        <v>162</v>
      </c>
      <c r="D39" s="38" t="s">
        <v>136</v>
      </c>
      <c r="E39" s="38">
        <v>1</v>
      </c>
      <c r="F39" s="38">
        <v>15</v>
      </c>
      <c r="G39" s="38">
        <v>24</v>
      </c>
      <c r="H39" s="38">
        <v>1</v>
      </c>
      <c r="I39" s="38" t="s">
        <v>98</v>
      </c>
      <c r="J39" s="38">
        <v>1</v>
      </c>
      <c r="K39" s="38">
        <f t="shared" si="4"/>
        <v>360</v>
      </c>
      <c r="L39" s="38">
        <f t="shared" si="5"/>
        <v>0.36</v>
      </c>
      <c r="M39" s="38">
        <f t="shared" si="6"/>
        <v>15</v>
      </c>
      <c r="N39" s="38">
        <f t="shared" si="7"/>
        <v>15</v>
      </c>
      <c r="O39" s="38"/>
    </row>
    <row r="40" spans="1:15">
      <c r="A40" s="38" t="s">
        <v>103</v>
      </c>
      <c r="B40" s="38" t="s">
        <v>174</v>
      </c>
      <c r="C40" s="38" t="s">
        <v>162</v>
      </c>
      <c r="D40" s="38" t="s">
        <v>73</v>
      </c>
      <c r="E40" s="38">
        <v>3</v>
      </c>
      <c r="F40" s="38">
        <v>65</v>
      </c>
      <c r="G40" s="38">
        <v>5</v>
      </c>
      <c r="H40" s="38">
        <v>1</v>
      </c>
      <c r="I40" s="38" t="s">
        <v>157</v>
      </c>
      <c r="J40" s="38">
        <v>1</v>
      </c>
      <c r="K40" s="38">
        <f t="shared" si="4"/>
        <v>975</v>
      </c>
      <c r="L40" s="38">
        <f t="shared" si="5"/>
        <v>0.97499999999999998</v>
      </c>
      <c r="M40" s="38">
        <f t="shared" si="6"/>
        <v>195</v>
      </c>
      <c r="N40" s="38">
        <f t="shared" si="7"/>
        <v>195</v>
      </c>
      <c r="O40" s="38"/>
    </row>
    <row r="41" spans="1:15">
      <c r="A41" s="38" t="s">
        <v>103</v>
      </c>
      <c r="B41" s="38" t="s">
        <v>174</v>
      </c>
      <c r="C41" s="38" t="s">
        <v>162</v>
      </c>
      <c r="D41" s="38" t="s">
        <v>138</v>
      </c>
      <c r="E41" s="38">
        <v>5</v>
      </c>
      <c r="F41" s="38">
        <v>10</v>
      </c>
      <c r="G41" s="38">
        <v>3</v>
      </c>
      <c r="H41" s="38">
        <v>1</v>
      </c>
      <c r="I41" s="38" t="s">
        <v>98</v>
      </c>
      <c r="J41" s="38">
        <v>1</v>
      </c>
      <c r="K41" s="38">
        <f t="shared" si="4"/>
        <v>150</v>
      </c>
      <c r="L41" s="38">
        <f t="shared" si="5"/>
        <v>0.15</v>
      </c>
      <c r="M41" s="38">
        <f t="shared" si="6"/>
        <v>50</v>
      </c>
      <c r="N41" s="38">
        <f t="shared" si="7"/>
        <v>50</v>
      </c>
      <c r="O41" s="38"/>
    </row>
    <row r="42" spans="1:15">
      <c r="A42" s="38" t="s">
        <v>103</v>
      </c>
      <c r="B42" s="38" t="s">
        <v>174</v>
      </c>
      <c r="C42" s="38" t="s">
        <v>162</v>
      </c>
      <c r="D42" s="38" t="s">
        <v>135</v>
      </c>
      <c r="E42" s="38">
        <v>1</v>
      </c>
      <c r="F42" s="38">
        <v>250</v>
      </c>
      <c r="G42" s="38">
        <v>24</v>
      </c>
      <c r="H42" s="38">
        <v>0.45</v>
      </c>
      <c r="I42" s="38" t="s">
        <v>157</v>
      </c>
      <c r="J42" s="38">
        <v>2.5</v>
      </c>
      <c r="K42" s="38">
        <f t="shared" si="4"/>
        <v>2700</v>
      </c>
      <c r="L42" s="38">
        <f t="shared" si="5"/>
        <v>2.7</v>
      </c>
      <c r="M42" s="38">
        <f t="shared" si="6"/>
        <v>250</v>
      </c>
      <c r="N42" s="38">
        <f t="shared" si="7"/>
        <v>625</v>
      </c>
      <c r="O42" s="38"/>
    </row>
    <row r="43" spans="1:15">
      <c r="A43" s="38" t="s">
        <v>103</v>
      </c>
      <c r="B43" s="38" t="s">
        <v>174</v>
      </c>
      <c r="C43" s="38" t="s">
        <v>162</v>
      </c>
      <c r="D43" s="38" t="s">
        <v>131</v>
      </c>
      <c r="E43" s="38">
        <v>1</v>
      </c>
      <c r="F43" s="38">
        <v>1200</v>
      </c>
      <c r="G43" s="38">
        <v>0.4</v>
      </c>
      <c r="H43" s="38">
        <v>1</v>
      </c>
      <c r="I43" s="38" t="s">
        <v>97</v>
      </c>
      <c r="J43" s="38">
        <v>1</v>
      </c>
      <c r="K43" s="38">
        <f t="shared" si="4"/>
        <v>480</v>
      </c>
      <c r="L43" s="38">
        <f t="shared" si="5"/>
        <v>0.48</v>
      </c>
      <c r="M43" s="38">
        <f t="shared" si="6"/>
        <v>1200</v>
      </c>
      <c r="N43" s="38">
        <f t="shared" si="7"/>
        <v>1200</v>
      </c>
      <c r="O43" s="38"/>
    </row>
    <row r="44" spans="1:15">
      <c r="A44" s="38" t="s">
        <v>103</v>
      </c>
      <c r="B44" s="38" t="s">
        <v>174</v>
      </c>
      <c r="C44" s="38" t="s">
        <v>162</v>
      </c>
      <c r="D44" s="38" t="s">
        <v>132</v>
      </c>
      <c r="E44" s="38">
        <v>1</v>
      </c>
      <c r="F44" s="38">
        <v>500</v>
      </c>
      <c r="G44" s="38">
        <v>0.7</v>
      </c>
      <c r="H44" s="38">
        <v>1</v>
      </c>
      <c r="I44" s="38" t="s">
        <v>97</v>
      </c>
      <c r="J44" s="38">
        <v>2</v>
      </c>
      <c r="K44" s="38">
        <f t="shared" si="4"/>
        <v>350</v>
      </c>
      <c r="L44" s="38">
        <f t="shared" si="5"/>
        <v>0.35</v>
      </c>
      <c r="M44" s="38">
        <f t="shared" si="6"/>
        <v>500</v>
      </c>
      <c r="N44" s="38">
        <f t="shared" si="7"/>
        <v>1000</v>
      </c>
      <c r="O44" s="38"/>
    </row>
    <row r="45" spans="1:15">
      <c r="A45" s="38" t="s">
        <v>103</v>
      </c>
      <c r="B45" s="38" t="s">
        <v>174</v>
      </c>
      <c r="C45" s="38" t="s">
        <v>162</v>
      </c>
      <c r="D45" s="38" t="s">
        <v>99</v>
      </c>
      <c r="E45" s="38">
        <v>1</v>
      </c>
      <c r="F45" s="38">
        <v>750</v>
      </c>
      <c r="G45" s="38">
        <v>0.75</v>
      </c>
      <c r="H45" s="38">
        <v>1</v>
      </c>
      <c r="I45" s="38" t="s">
        <v>98</v>
      </c>
      <c r="J45" s="38">
        <v>3</v>
      </c>
      <c r="K45" s="38">
        <f t="shared" si="4"/>
        <v>562.5</v>
      </c>
      <c r="L45" s="38">
        <f t="shared" si="5"/>
        <v>0.5625</v>
      </c>
      <c r="M45" s="38">
        <f t="shared" si="6"/>
        <v>750</v>
      </c>
      <c r="N45" s="38">
        <f t="shared" si="7"/>
        <v>2250</v>
      </c>
      <c r="O45" s="38"/>
    </row>
    <row r="46" spans="1:15">
      <c r="A46" s="38" t="s">
        <v>103</v>
      </c>
      <c r="B46" s="38" t="s">
        <v>174</v>
      </c>
      <c r="C46" s="38" t="s">
        <v>162</v>
      </c>
      <c r="D46" s="38" t="s">
        <v>175</v>
      </c>
      <c r="E46" s="38">
        <v>4</v>
      </c>
      <c r="F46" s="38">
        <v>20</v>
      </c>
      <c r="G46" s="38">
        <v>10</v>
      </c>
      <c r="H46" s="38">
        <v>1</v>
      </c>
      <c r="I46" s="38" t="s">
        <v>98</v>
      </c>
      <c r="J46" s="38">
        <v>1</v>
      </c>
      <c r="K46" s="38">
        <f t="shared" si="4"/>
        <v>800</v>
      </c>
      <c r="L46" s="38">
        <f t="shared" si="5"/>
        <v>0.8</v>
      </c>
      <c r="M46" s="38">
        <f t="shared" si="6"/>
        <v>80</v>
      </c>
      <c r="N46" s="38">
        <f t="shared" si="7"/>
        <v>80</v>
      </c>
      <c r="O46" s="38"/>
    </row>
    <row r="47" spans="1:15">
      <c r="A47" s="38" t="s">
        <v>103</v>
      </c>
      <c r="B47" s="38" t="s">
        <v>178</v>
      </c>
      <c r="C47" s="38" t="s">
        <v>162</v>
      </c>
      <c r="D47" s="38" t="s">
        <v>154</v>
      </c>
      <c r="E47" s="38">
        <v>30</v>
      </c>
      <c r="F47" s="38">
        <v>10</v>
      </c>
      <c r="G47" s="38">
        <v>6</v>
      </c>
      <c r="H47" s="38">
        <v>1</v>
      </c>
      <c r="I47" s="38" t="s">
        <v>98</v>
      </c>
      <c r="J47" s="38">
        <v>1</v>
      </c>
      <c r="K47" s="38">
        <f t="shared" si="4"/>
        <v>1800</v>
      </c>
      <c r="L47" s="38">
        <f t="shared" si="5"/>
        <v>1.8</v>
      </c>
      <c r="M47" s="38">
        <f t="shared" si="6"/>
        <v>300</v>
      </c>
      <c r="N47" s="38">
        <f t="shared" si="7"/>
        <v>300</v>
      </c>
      <c r="O47" s="38"/>
    </row>
    <row r="48" spans="1:15">
      <c r="A48" s="38" t="s">
        <v>103</v>
      </c>
      <c r="B48" s="38" t="s">
        <v>178</v>
      </c>
      <c r="C48" s="38" t="s">
        <v>162</v>
      </c>
      <c r="D48" s="38" t="s">
        <v>156</v>
      </c>
      <c r="E48" s="38">
        <v>8</v>
      </c>
      <c r="F48" s="38">
        <v>60</v>
      </c>
      <c r="G48" s="38">
        <v>8</v>
      </c>
      <c r="H48" s="38">
        <v>1</v>
      </c>
      <c r="I48" s="38" t="s">
        <v>98</v>
      </c>
      <c r="J48" s="38">
        <v>1.2</v>
      </c>
      <c r="K48" s="38">
        <f t="shared" si="4"/>
        <v>3840</v>
      </c>
      <c r="L48" s="38">
        <f t="shared" si="5"/>
        <v>3.84</v>
      </c>
      <c r="M48" s="38">
        <f t="shared" si="6"/>
        <v>480</v>
      </c>
      <c r="N48" s="38">
        <f t="shared" si="7"/>
        <v>576</v>
      </c>
      <c r="O48" s="38"/>
    </row>
    <row r="49" spans="1:15">
      <c r="A49" s="38" t="s">
        <v>103</v>
      </c>
      <c r="B49" s="38" t="s">
        <v>178</v>
      </c>
      <c r="C49" s="38" t="s">
        <v>162</v>
      </c>
      <c r="D49" s="38" t="s">
        <v>71</v>
      </c>
      <c r="E49" s="38">
        <v>3</v>
      </c>
      <c r="F49" s="38">
        <v>100</v>
      </c>
      <c r="G49" s="38">
        <v>6</v>
      </c>
      <c r="H49" s="38">
        <v>1</v>
      </c>
      <c r="I49" s="38" t="s">
        <v>157</v>
      </c>
      <c r="J49" s="38">
        <v>1.2</v>
      </c>
      <c r="K49" s="38">
        <f t="shared" si="4"/>
        <v>1800</v>
      </c>
      <c r="L49" s="38">
        <f t="shared" si="5"/>
        <v>1.8</v>
      </c>
      <c r="M49" s="38">
        <f t="shared" si="6"/>
        <v>300</v>
      </c>
      <c r="N49" s="38">
        <f t="shared" si="7"/>
        <v>360</v>
      </c>
      <c r="O49" s="38"/>
    </row>
    <row r="50" spans="1:15">
      <c r="A50" s="38" t="s">
        <v>103</v>
      </c>
      <c r="B50" s="38" t="s">
        <v>178</v>
      </c>
      <c r="C50" s="38" t="s">
        <v>162</v>
      </c>
      <c r="D50" s="38" t="s">
        <v>134</v>
      </c>
      <c r="E50" s="38">
        <v>3</v>
      </c>
      <c r="F50" s="38">
        <v>25</v>
      </c>
      <c r="G50" s="38">
        <v>6</v>
      </c>
      <c r="H50" s="38">
        <v>1</v>
      </c>
      <c r="I50" s="38" t="s">
        <v>157</v>
      </c>
      <c r="J50" s="38">
        <v>1</v>
      </c>
      <c r="K50" s="38">
        <f t="shared" si="4"/>
        <v>450</v>
      </c>
      <c r="L50" s="38">
        <f t="shared" si="5"/>
        <v>0.45</v>
      </c>
      <c r="M50" s="38">
        <f t="shared" si="6"/>
        <v>75</v>
      </c>
      <c r="N50" s="38">
        <f t="shared" si="7"/>
        <v>75</v>
      </c>
      <c r="O50" s="38"/>
    </row>
    <row r="51" spans="1:15">
      <c r="A51" s="38" t="s">
        <v>103</v>
      </c>
      <c r="B51" s="38" t="s">
        <v>178</v>
      </c>
      <c r="C51" s="38" t="s">
        <v>162</v>
      </c>
      <c r="D51" s="38" t="s">
        <v>76</v>
      </c>
      <c r="E51" s="38">
        <v>1</v>
      </c>
      <c r="F51" s="38">
        <v>150</v>
      </c>
      <c r="G51" s="38">
        <v>24</v>
      </c>
      <c r="H51" s="38">
        <v>0.4</v>
      </c>
      <c r="I51" s="38" t="s">
        <v>98</v>
      </c>
      <c r="J51" s="38">
        <v>2</v>
      </c>
      <c r="K51" s="38">
        <f t="shared" si="4"/>
        <v>1440</v>
      </c>
      <c r="L51" s="38">
        <f t="shared" si="5"/>
        <v>1.44</v>
      </c>
      <c r="M51" s="38">
        <f t="shared" si="6"/>
        <v>150</v>
      </c>
      <c r="N51" s="38">
        <f t="shared" si="7"/>
        <v>300</v>
      </c>
      <c r="O51" s="38"/>
    </row>
    <row r="52" spans="1:15">
      <c r="A52" s="38" t="s">
        <v>103</v>
      </c>
      <c r="B52" s="38" t="s">
        <v>178</v>
      </c>
      <c r="C52" s="38" t="s">
        <v>162</v>
      </c>
      <c r="D52" s="38" t="s">
        <v>136</v>
      </c>
      <c r="E52" s="38">
        <v>1</v>
      </c>
      <c r="F52" s="38">
        <v>15</v>
      </c>
      <c r="G52" s="38">
        <v>24</v>
      </c>
      <c r="H52" s="38">
        <v>1</v>
      </c>
      <c r="I52" s="38" t="s">
        <v>98</v>
      </c>
      <c r="J52" s="38">
        <v>1</v>
      </c>
      <c r="K52" s="38">
        <f t="shared" si="4"/>
        <v>360</v>
      </c>
      <c r="L52" s="38">
        <f t="shared" si="5"/>
        <v>0.36</v>
      </c>
      <c r="M52" s="38">
        <f t="shared" si="6"/>
        <v>15</v>
      </c>
      <c r="N52" s="38">
        <f t="shared" si="7"/>
        <v>15</v>
      </c>
      <c r="O52" s="38"/>
    </row>
    <row r="53" spans="1:15">
      <c r="A53" s="38" t="s">
        <v>103</v>
      </c>
      <c r="B53" s="38" t="s">
        <v>178</v>
      </c>
      <c r="C53" s="38" t="s">
        <v>162</v>
      </c>
      <c r="D53" s="38" t="s">
        <v>73</v>
      </c>
      <c r="E53" s="38">
        <v>4</v>
      </c>
      <c r="F53" s="38">
        <v>65</v>
      </c>
      <c r="G53" s="38">
        <v>5</v>
      </c>
      <c r="H53" s="38">
        <v>1</v>
      </c>
      <c r="I53" s="38" t="s">
        <v>157</v>
      </c>
      <c r="J53" s="38">
        <v>1</v>
      </c>
      <c r="K53" s="38">
        <f t="shared" si="4"/>
        <v>1300</v>
      </c>
      <c r="L53" s="38">
        <f t="shared" si="5"/>
        <v>1.3</v>
      </c>
      <c r="M53" s="38">
        <f t="shared" si="6"/>
        <v>260</v>
      </c>
      <c r="N53" s="38">
        <f t="shared" si="7"/>
        <v>260</v>
      </c>
      <c r="O53" s="38"/>
    </row>
    <row r="54" spans="1:15">
      <c r="A54" s="38" t="s">
        <v>103</v>
      </c>
      <c r="B54" s="38" t="s">
        <v>178</v>
      </c>
      <c r="C54" s="38" t="s">
        <v>162</v>
      </c>
      <c r="D54" s="38" t="s">
        <v>138</v>
      </c>
      <c r="E54" s="38">
        <v>6</v>
      </c>
      <c r="F54" s="38">
        <v>10</v>
      </c>
      <c r="G54" s="38">
        <v>3</v>
      </c>
      <c r="H54" s="38">
        <v>1</v>
      </c>
      <c r="I54" s="38" t="s">
        <v>98</v>
      </c>
      <c r="J54" s="38">
        <v>1</v>
      </c>
      <c r="K54" s="38">
        <f t="shared" si="4"/>
        <v>180</v>
      </c>
      <c r="L54" s="38">
        <f t="shared" si="5"/>
        <v>0.18</v>
      </c>
      <c r="M54" s="38">
        <f t="shared" si="6"/>
        <v>60</v>
      </c>
      <c r="N54" s="38">
        <f t="shared" si="7"/>
        <v>60</v>
      </c>
      <c r="O54" s="38"/>
    </row>
    <row r="55" spans="1:15">
      <c r="A55" s="38" t="s">
        <v>103</v>
      </c>
      <c r="B55" s="38" t="s">
        <v>178</v>
      </c>
      <c r="C55" s="38" t="s">
        <v>162</v>
      </c>
      <c r="D55" s="38" t="s">
        <v>135</v>
      </c>
      <c r="E55" s="38">
        <v>1</v>
      </c>
      <c r="F55" s="38">
        <v>250</v>
      </c>
      <c r="G55" s="38">
        <v>24</v>
      </c>
      <c r="H55" s="38">
        <v>0.45</v>
      </c>
      <c r="I55" s="38" t="s">
        <v>157</v>
      </c>
      <c r="J55" s="38">
        <v>2.5</v>
      </c>
      <c r="K55" s="38">
        <f t="shared" ref="K55:K92" si="8">E55*F55*G55*H55</f>
        <v>2700</v>
      </c>
      <c r="L55" s="38">
        <f t="shared" ref="L55:L92" si="9">K55/1000</f>
        <v>2.7</v>
      </c>
      <c r="M55" s="38">
        <f t="shared" ref="M55:M92" si="10">E55*F55</f>
        <v>250</v>
      </c>
      <c r="N55" s="38">
        <f t="shared" ref="N55:N92" si="11">M55*J55</f>
        <v>625</v>
      </c>
      <c r="O55" s="38"/>
    </row>
    <row r="56" spans="1:15">
      <c r="A56" s="38" t="s">
        <v>103</v>
      </c>
      <c r="B56" s="38" t="s">
        <v>178</v>
      </c>
      <c r="C56" s="38" t="s">
        <v>162</v>
      </c>
      <c r="D56" s="38" t="s">
        <v>131</v>
      </c>
      <c r="E56" s="38">
        <v>1</v>
      </c>
      <c r="F56" s="38">
        <v>1200</v>
      </c>
      <c r="G56" s="38">
        <v>0.5</v>
      </c>
      <c r="H56" s="38">
        <v>1</v>
      </c>
      <c r="I56" s="38" t="s">
        <v>97</v>
      </c>
      <c r="J56" s="38">
        <v>1</v>
      </c>
      <c r="K56" s="38">
        <f t="shared" si="8"/>
        <v>600</v>
      </c>
      <c r="L56" s="38">
        <f t="shared" si="9"/>
        <v>0.6</v>
      </c>
      <c r="M56" s="38">
        <f t="shared" si="10"/>
        <v>1200</v>
      </c>
      <c r="N56" s="38">
        <f t="shared" si="11"/>
        <v>1200</v>
      </c>
      <c r="O56" s="38"/>
    </row>
    <row r="57" spans="1:15">
      <c r="A57" s="38" t="s">
        <v>103</v>
      </c>
      <c r="B57" s="38" t="s">
        <v>178</v>
      </c>
      <c r="C57" s="38" t="s">
        <v>162</v>
      </c>
      <c r="D57" s="38" t="s">
        <v>132</v>
      </c>
      <c r="E57" s="38">
        <v>1</v>
      </c>
      <c r="F57" s="38">
        <v>500</v>
      </c>
      <c r="G57" s="38">
        <v>1</v>
      </c>
      <c r="H57" s="38">
        <v>1</v>
      </c>
      <c r="I57" s="38" t="s">
        <v>97</v>
      </c>
      <c r="J57" s="38">
        <v>2</v>
      </c>
      <c r="K57" s="38">
        <f t="shared" si="8"/>
        <v>500</v>
      </c>
      <c r="L57" s="38">
        <f t="shared" si="9"/>
        <v>0.5</v>
      </c>
      <c r="M57" s="38">
        <f t="shared" si="10"/>
        <v>500</v>
      </c>
      <c r="N57" s="38">
        <f t="shared" si="11"/>
        <v>1000</v>
      </c>
      <c r="O57" s="38"/>
    </row>
    <row r="58" spans="1:15">
      <c r="A58" s="38" t="s">
        <v>103</v>
      </c>
      <c r="B58" s="38" t="s">
        <v>178</v>
      </c>
      <c r="C58" s="38" t="s">
        <v>162</v>
      </c>
      <c r="D58" s="38" t="s">
        <v>99</v>
      </c>
      <c r="E58" s="38">
        <v>1</v>
      </c>
      <c r="F58" s="38">
        <v>1100</v>
      </c>
      <c r="G58" s="38">
        <v>1</v>
      </c>
      <c r="H58" s="38">
        <v>1</v>
      </c>
      <c r="I58" s="38" t="s">
        <v>98</v>
      </c>
      <c r="J58" s="38">
        <v>3</v>
      </c>
      <c r="K58" s="38">
        <f t="shared" si="8"/>
        <v>1100</v>
      </c>
      <c r="L58" s="38">
        <f t="shared" si="9"/>
        <v>1.1000000000000001</v>
      </c>
      <c r="M58" s="38">
        <f t="shared" si="10"/>
        <v>1100</v>
      </c>
      <c r="N58" s="38">
        <f t="shared" si="11"/>
        <v>3300</v>
      </c>
      <c r="O58" s="38"/>
    </row>
    <row r="59" spans="1:15">
      <c r="A59" s="38" t="s">
        <v>103</v>
      </c>
      <c r="B59" s="38" t="s">
        <v>178</v>
      </c>
      <c r="C59" s="38" t="s">
        <v>162</v>
      </c>
      <c r="D59" s="38" t="s">
        <v>175</v>
      </c>
      <c r="E59" s="38">
        <v>8</v>
      </c>
      <c r="F59" s="38">
        <v>20</v>
      </c>
      <c r="G59" s="38">
        <v>10</v>
      </c>
      <c r="H59" s="38">
        <v>1</v>
      </c>
      <c r="I59" s="38" t="s">
        <v>98</v>
      </c>
      <c r="J59" s="38">
        <v>1</v>
      </c>
      <c r="K59" s="38">
        <f t="shared" si="8"/>
        <v>1600</v>
      </c>
      <c r="L59" s="38">
        <f t="shared" si="9"/>
        <v>1.6</v>
      </c>
      <c r="M59" s="38">
        <f t="shared" si="10"/>
        <v>160</v>
      </c>
      <c r="N59" s="38">
        <f t="shared" si="11"/>
        <v>160</v>
      </c>
      <c r="O59" s="38"/>
    </row>
    <row r="60" spans="1:15">
      <c r="A60" s="38" t="s">
        <v>103</v>
      </c>
      <c r="B60" s="38" t="s">
        <v>178</v>
      </c>
      <c r="C60" s="38" t="s">
        <v>162</v>
      </c>
      <c r="D60" s="38" t="s">
        <v>179</v>
      </c>
      <c r="E60" s="38">
        <v>1</v>
      </c>
      <c r="F60" s="38">
        <v>800</v>
      </c>
      <c r="G60" s="38">
        <v>0.5</v>
      </c>
      <c r="H60" s="38">
        <v>1</v>
      </c>
      <c r="I60" s="38" t="s">
        <v>97</v>
      </c>
      <c r="J60" s="38">
        <v>1</v>
      </c>
      <c r="K60" s="38">
        <f t="shared" si="8"/>
        <v>400</v>
      </c>
      <c r="L60" s="38">
        <f t="shared" si="9"/>
        <v>0.4</v>
      </c>
      <c r="M60" s="38">
        <f t="shared" si="10"/>
        <v>800</v>
      </c>
      <c r="N60" s="38">
        <f t="shared" si="11"/>
        <v>800</v>
      </c>
      <c r="O60" s="38"/>
    </row>
    <row r="61" spans="1:15">
      <c r="A61" s="38" t="s">
        <v>103</v>
      </c>
      <c r="B61" s="38" t="s">
        <v>182</v>
      </c>
      <c r="C61" s="38" t="s">
        <v>162</v>
      </c>
      <c r="D61" s="38" t="s">
        <v>154</v>
      </c>
      <c r="E61" s="38">
        <v>40</v>
      </c>
      <c r="F61" s="38">
        <v>10</v>
      </c>
      <c r="G61" s="38">
        <v>6</v>
      </c>
      <c r="H61" s="38">
        <v>1</v>
      </c>
      <c r="I61" s="38" t="s">
        <v>98</v>
      </c>
      <c r="J61" s="38">
        <v>1</v>
      </c>
      <c r="K61" s="38">
        <f t="shared" si="8"/>
        <v>2400</v>
      </c>
      <c r="L61" s="38">
        <f t="shared" si="9"/>
        <v>2.4</v>
      </c>
      <c r="M61" s="38">
        <f t="shared" si="10"/>
        <v>400</v>
      </c>
      <c r="N61" s="38">
        <f t="shared" si="11"/>
        <v>400</v>
      </c>
      <c r="O61" s="38"/>
    </row>
    <row r="62" spans="1:15">
      <c r="A62" s="38" t="s">
        <v>103</v>
      </c>
      <c r="B62" s="38" t="s">
        <v>182</v>
      </c>
      <c r="C62" s="38" t="s">
        <v>162</v>
      </c>
      <c r="D62" s="38" t="s">
        <v>156</v>
      </c>
      <c r="E62" s="38">
        <v>10</v>
      </c>
      <c r="F62" s="38">
        <v>60</v>
      </c>
      <c r="G62" s="38">
        <v>8</v>
      </c>
      <c r="H62" s="38">
        <v>1</v>
      </c>
      <c r="I62" s="38" t="s">
        <v>98</v>
      </c>
      <c r="J62" s="38">
        <v>1.2</v>
      </c>
      <c r="K62" s="38">
        <f t="shared" si="8"/>
        <v>4800</v>
      </c>
      <c r="L62" s="38">
        <f t="shared" si="9"/>
        <v>4.8</v>
      </c>
      <c r="M62" s="38">
        <f t="shared" si="10"/>
        <v>600</v>
      </c>
      <c r="N62" s="38">
        <f t="shared" si="11"/>
        <v>720</v>
      </c>
      <c r="O62" s="38"/>
    </row>
    <row r="63" spans="1:15">
      <c r="A63" s="38" t="s">
        <v>103</v>
      </c>
      <c r="B63" s="38" t="s">
        <v>182</v>
      </c>
      <c r="C63" s="38" t="s">
        <v>162</v>
      </c>
      <c r="D63" s="38" t="s">
        <v>71</v>
      </c>
      <c r="E63" s="38">
        <v>4</v>
      </c>
      <c r="F63" s="38">
        <v>100</v>
      </c>
      <c r="G63" s="38">
        <v>6</v>
      </c>
      <c r="H63" s="38">
        <v>1</v>
      </c>
      <c r="I63" s="38" t="s">
        <v>157</v>
      </c>
      <c r="J63" s="38">
        <v>1.2</v>
      </c>
      <c r="K63" s="38">
        <f t="shared" si="8"/>
        <v>2400</v>
      </c>
      <c r="L63" s="38">
        <f t="shared" si="9"/>
        <v>2.4</v>
      </c>
      <c r="M63" s="38">
        <f t="shared" si="10"/>
        <v>400</v>
      </c>
      <c r="N63" s="38">
        <f t="shared" si="11"/>
        <v>480</v>
      </c>
      <c r="O63" s="38"/>
    </row>
    <row r="64" spans="1:15">
      <c r="A64" s="38" t="s">
        <v>103</v>
      </c>
      <c r="B64" s="38" t="s">
        <v>182</v>
      </c>
      <c r="C64" s="38" t="s">
        <v>162</v>
      </c>
      <c r="D64" s="38" t="s">
        <v>134</v>
      </c>
      <c r="E64" s="38">
        <v>4</v>
      </c>
      <c r="F64" s="38">
        <v>25</v>
      </c>
      <c r="G64" s="38">
        <v>6</v>
      </c>
      <c r="H64" s="38">
        <v>1</v>
      </c>
      <c r="I64" s="38" t="s">
        <v>157</v>
      </c>
      <c r="J64" s="38">
        <v>1</v>
      </c>
      <c r="K64" s="38">
        <f t="shared" si="8"/>
        <v>600</v>
      </c>
      <c r="L64" s="38">
        <f t="shared" si="9"/>
        <v>0.6</v>
      </c>
      <c r="M64" s="38">
        <f t="shared" si="10"/>
        <v>100</v>
      </c>
      <c r="N64" s="38">
        <f t="shared" si="11"/>
        <v>100</v>
      </c>
      <c r="O64" s="38"/>
    </row>
    <row r="65" spans="1:15">
      <c r="A65" s="38" t="s">
        <v>103</v>
      </c>
      <c r="B65" s="38" t="s">
        <v>182</v>
      </c>
      <c r="C65" s="38" t="s">
        <v>162</v>
      </c>
      <c r="D65" s="38" t="s">
        <v>76</v>
      </c>
      <c r="E65" s="38">
        <v>2</v>
      </c>
      <c r="F65" s="38">
        <v>150</v>
      </c>
      <c r="G65" s="38">
        <v>24</v>
      </c>
      <c r="H65" s="38">
        <v>0.4</v>
      </c>
      <c r="I65" s="38" t="s">
        <v>98</v>
      </c>
      <c r="J65" s="38">
        <v>2</v>
      </c>
      <c r="K65" s="38">
        <f t="shared" si="8"/>
        <v>2880</v>
      </c>
      <c r="L65" s="38">
        <f t="shared" si="9"/>
        <v>2.88</v>
      </c>
      <c r="M65" s="38">
        <f t="shared" si="10"/>
        <v>300</v>
      </c>
      <c r="N65" s="38">
        <f t="shared" si="11"/>
        <v>600</v>
      </c>
      <c r="O65" s="38"/>
    </row>
    <row r="66" spans="1:15">
      <c r="A66" s="38" t="s">
        <v>103</v>
      </c>
      <c r="B66" s="38" t="s">
        <v>182</v>
      </c>
      <c r="C66" s="38" t="s">
        <v>162</v>
      </c>
      <c r="D66" s="38" t="s">
        <v>136</v>
      </c>
      <c r="E66" s="38">
        <v>1</v>
      </c>
      <c r="F66" s="38">
        <v>15</v>
      </c>
      <c r="G66" s="38">
        <v>24</v>
      </c>
      <c r="H66" s="38">
        <v>1</v>
      </c>
      <c r="I66" s="38" t="s">
        <v>98</v>
      </c>
      <c r="J66" s="38">
        <v>1</v>
      </c>
      <c r="K66" s="38">
        <f t="shared" si="8"/>
        <v>360</v>
      </c>
      <c r="L66" s="38">
        <f t="shared" si="9"/>
        <v>0.36</v>
      </c>
      <c r="M66" s="38">
        <f t="shared" si="10"/>
        <v>15</v>
      </c>
      <c r="N66" s="38">
        <f t="shared" si="11"/>
        <v>15</v>
      </c>
      <c r="O66" s="38"/>
    </row>
    <row r="67" spans="1:15">
      <c r="A67" s="38" t="s">
        <v>103</v>
      </c>
      <c r="B67" s="38" t="s">
        <v>182</v>
      </c>
      <c r="C67" s="38" t="s">
        <v>162</v>
      </c>
      <c r="D67" s="38" t="s">
        <v>73</v>
      </c>
      <c r="E67" s="38">
        <v>5</v>
      </c>
      <c r="F67" s="38">
        <v>65</v>
      </c>
      <c r="G67" s="38">
        <v>5</v>
      </c>
      <c r="H67" s="38">
        <v>1</v>
      </c>
      <c r="I67" s="38" t="s">
        <v>157</v>
      </c>
      <c r="J67" s="38">
        <v>1</v>
      </c>
      <c r="K67" s="38">
        <f t="shared" si="8"/>
        <v>1625</v>
      </c>
      <c r="L67" s="38">
        <f t="shared" si="9"/>
        <v>1.625</v>
      </c>
      <c r="M67" s="38">
        <f t="shared" si="10"/>
        <v>325</v>
      </c>
      <c r="N67" s="38">
        <f t="shared" si="11"/>
        <v>325</v>
      </c>
      <c r="O67" s="38"/>
    </row>
    <row r="68" spans="1:15">
      <c r="A68" s="38" t="s">
        <v>103</v>
      </c>
      <c r="B68" s="38" t="s">
        <v>182</v>
      </c>
      <c r="C68" s="38" t="s">
        <v>162</v>
      </c>
      <c r="D68" s="38" t="s">
        <v>138</v>
      </c>
      <c r="E68" s="38">
        <v>8</v>
      </c>
      <c r="F68" s="38">
        <v>10</v>
      </c>
      <c r="G68" s="38">
        <v>3</v>
      </c>
      <c r="H68" s="38">
        <v>1</v>
      </c>
      <c r="I68" s="38" t="s">
        <v>98</v>
      </c>
      <c r="J68" s="38">
        <v>1</v>
      </c>
      <c r="K68" s="38">
        <f t="shared" si="8"/>
        <v>240</v>
      </c>
      <c r="L68" s="38">
        <f t="shared" si="9"/>
        <v>0.24</v>
      </c>
      <c r="M68" s="38">
        <f t="shared" si="10"/>
        <v>80</v>
      </c>
      <c r="N68" s="38">
        <f t="shared" si="11"/>
        <v>80</v>
      </c>
      <c r="O68" s="38"/>
    </row>
    <row r="69" spans="1:15">
      <c r="A69" s="38" t="s">
        <v>103</v>
      </c>
      <c r="B69" s="38" t="s">
        <v>182</v>
      </c>
      <c r="C69" s="38" t="s">
        <v>162</v>
      </c>
      <c r="D69" s="38" t="s">
        <v>135</v>
      </c>
      <c r="E69" s="38">
        <v>1</v>
      </c>
      <c r="F69" s="38">
        <v>250</v>
      </c>
      <c r="G69" s="38">
        <v>24</v>
      </c>
      <c r="H69" s="38">
        <v>0.45</v>
      </c>
      <c r="I69" s="38" t="s">
        <v>157</v>
      </c>
      <c r="J69" s="38">
        <v>2.5</v>
      </c>
      <c r="K69" s="38">
        <f t="shared" si="8"/>
        <v>2700</v>
      </c>
      <c r="L69" s="38">
        <f t="shared" si="9"/>
        <v>2.7</v>
      </c>
      <c r="M69" s="38">
        <f t="shared" si="10"/>
        <v>250</v>
      </c>
      <c r="N69" s="38">
        <f t="shared" si="11"/>
        <v>625</v>
      </c>
      <c r="O69" s="38"/>
    </row>
    <row r="70" spans="1:15">
      <c r="A70" s="38" t="s">
        <v>103</v>
      </c>
      <c r="B70" s="38" t="s">
        <v>182</v>
      </c>
      <c r="C70" s="38" t="s">
        <v>162</v>
      </c>
      <c r="D70" s="38" t="s">
        <v>99</v>
      </c>
      <c r="E70" s="38">
        <v>1</v>
      </c>
      <c r="F70" s="38">
        <v>1500</v>
      </c>
      <c r="G70" s="38">
        <v>1</v>
      </c>
      <c r="H70" s="38">
        <v>1</v>
      </c>
      <c r="I70" s="38" t="s">
        <v>98</v>
      </c>
      <c r="J70" s="38">
        <v>3</v>
      </c>
      <c r="K70" s="38">
        <f t="shared" si="8"/>
        <v>1500</v>
      </c>
      <c r="L70" s="38">
        <f t="shared" si="9"/>
        <v>1.5</v>
      </c>
      <c r="M70" s="38">
        <f t="shared" si="10"/>
        <v>1500</v>
      </c>
      <c r="N70" s="38">
        <f t="shared" si="11"/>
        <v>4500</v>
      </c>
      <c r="O70" s="38"/>
    </row>
    <row r="71" spans="1:15">
      <c r="A71" s="38" t="s">
        <v>103</v>
      </c>
      <c r="B71" s="38" t="s">
        <v>182</v>
      </c>
      <c r="C71" s="38" t="s">
        <v>162</v>
      </c>
      <c r="D71" s="38" t="s">
        <v>175</v>
      </c>
      <c r="E71" s="38">
        <v>10</v>
      </c>
      <c r="F71" s="38">
        <v>20</v>
      </c>
      <c r="G71" s="38">
        <v>10</v>
      </c>
      <c r="H71" s="38">
        <v>1</v>
      </c>
      <c r="I71" s="38" t="s">
        <v>98</v>
      </c>
      <c r="J71" s="38">
        <v>1</v>
      </c>
      <c r="K71" s="38">
        <f t="shared" si="8"/>
        <v>2000</v>
      </c>
      <c r="L71" s="38">
        <f t="shared" si="9"/>
        <v>2</v>
      </c>
      <c r="M71" s="38">
        <f t="shared" si="10"/>
        <v>200</v>
      </c>
      <c r="N71" s="38">
        <f t="shared" si="11"/>
        <v>200</v>
      </c>
      <c r="O71" s="38"/>
    </row>
    <row r="72" spans="1:15">
      <c r="A72" s="38" t="s">
        <v>103</v>
      </c>
      <c r="B72" s="38" t="s">
        <v>182</v>
      </c>
      <c r="C72" s="38" t="s">
        <v>162</v>
      </c>
      <c r="D72" s="38" t="s">
        <v>167</v>
      </c>
      <c r="E72" s="38">
        <v>2</v>
      </c>
      <c r="F72" s="38">
        <v>900</v>
      </c>
      <c r="G72" s="38">
        <v>5</v>
      </c>
      <c r="H72" s="38">
        <v>0.6</v>
      </c>
      <c r="I72" s="38" t="s">
        <v>157</v>
      </c>
      <c r="J72" s="38">
        <v>3</v>
      </c>
      <c r="K72" s="38">
        <f t="shared" si="8"/>
        <v>5400</v>
      </c>
      <c r="L72" s="38">
        <f t="shared" si="9"/>
        <v>5.4</v>
      </c>
      <c r="M72" s="38">
        <f t="shared" si="10"/>
        <v>1800</v>
      </c>
      <c r="N72" s="38">
        <f t="shared" si="11"/>
        <v>5400</v>
      </c>
      <c r="O72" s="38"/>
    </row>
    <row r="73" spans="1:15">
      <c r="A73" s="38" t="s">
        <v>103</v>
      </c>
      <c r="B73" s="38" t="s">
        <v>182</v>
      </c>
      <c r="C73" s="38" t="s">
        <v>162</v>
      </c>
      <c r="D73" s="38" t="s">
        <v>181</v>
      </c>
      <c r="E73" s="38">
        <v>1</v>
      </c>
      <c r="F73" s="38">
        <v>1200</v>
      </c>
      <c r="G73" s="38">
        <v>5</v>
      </c>
      <c r="H73" s="38">
        <v>0.6</v>
      </c>
      <c r="I73" s="38" t="s">
        <v>157</v>
      </c>
      <c r="J73" s="38">
        <v>3.5</v>
      </c>
      <c r="K73" s="38">
        <f t="shared" si="8"/>
        <v>3600</v>
      </c>
      <c r="L73" s="38">
        <f t="shared" si="9"/>
        <v>3.6</v>
      </c>
      <c r="M73" s="38">
        <f t="shared" si="10"/>
        <v>1200</v>
      </c>
      <c r="N73" s="38">
        <f t="shared" si="11"/>
        <v>4200</v>
      </c>
      <c r="O73" s="38"/>
    </row>
    <row r="74" spans="1:15">
      <c r="A74" s="38" t="s">
        <v>103</v>
      </c>
      <c r="B74" s="38" t="s">
        <v>185</v>
      </c>
      <c r="C74" s="38" t="s">
        <v>186</v>
      </c>
      <c r="D74" s="38" t="s">
        <v>187</v>
      </c>
      <c r="E74" s="38">
        <v>20</v>
      </c>
      <c r="F74" s="38">
        <v>20</v>
      </c>
      <c r="G74" s="38">
        <v>12</v>
      </c>
      <c r="H74" s="38">
        <v>1</v>
      </c>
      <c r="I74" s="38" t="s">
        <v>98</v>
      </c>
      <c r="J74" s="38">
        <v>1</v>
      </c>
      <c r="K74" s="38">
        <f t="shared" si="8"/>
        <v>4800</v>
      </c>
      <c r="L74" s="38">
        <f t="shared" si="9"/>
        <v>4.8</v>
      </c>
      <c r="M74" s="38">
        <f t="shared" si="10"/>
        <v>400</v>
      </c>
      <c r="N74" s="38">
        <f t="shared" si="11"/>
        <v>400</v>
      </c>
      <c r="O74" s="38"/>
    </row>
    <row r="75" spans="1:15">
      <c r="A75" s="38" t="s">
        <v>103</v>
      </c>
      <c r="B75" s="38" t="s">
        <v>185</v>
      </c>
      <c r="C75" s="38" t="s">
        <v>186</v>
      </c>
      <c r="D75" s="38" t="s">
        <v>188</v>
      </c>
      <c r="E75" s="38">
        <v>6</v>
      </c>
      <c r="F75" s="38">
        <v>20</v>
      </c>
      <c r="G75" s="38">
        <v>12</v>
      </c>
      <c r="H75" s="38">
        <v>1</v>
      </c>
      <c r="I75" s="38" t="s">
        <v>98</v>
      </c>
      <c r="J75" s="38">
        <v>1</v>
      </c>
      <c r="K75" s="38">
        <f t="shared" si="8"/>
        <v>1440</v>
      </c>
      <c r="L75" s="38">
        <f t="shared" si="9"/>
        <v>1.44</v>
      </c>
      <c r="M75" s="38">
        <f t="shared" si="10"/>
        <v>120</v>
      </c>
      <c r="N75" s="38">
        <f t="shared" si="11"/>
        <v>120</v>
      </c>
      <c r="O75" s="38"/>
    </row>
    <row r="76" spans="1:15">
      <c r="A76" s="38" t="s">
        <v>103</v>
      </c>
      <c r="B76" s="38" t="s">
        <v>185</v>
      </c>
      <c r="C76" s="38" t="s">
        <v>186</v>
      </c>
      <c r="D76" s="38" t="s">
        <v>189</v>
      </c>
      <c r="E76" s="38">
        <v>1</v>
      </c>
      <c r="F76" s="38">
        <v>80</v>
      </c>
      <c r="G76" s="38">
        <v>24</v>
      </c>
      <c r="H76" s="38">
        <v>1</v>
      </c>
      <c r="I76" s="38" t="s">
        <v>98</v>
      </c>
      <c r="J76" s="38">
        <v>1</v>
      </c>
      <c r="K76" s="38">
        <f t="shared" si="8"/>
        <v>1920</v>
      </c>
      <c r="L76" s="38">
        <f t="shared" si="9"/>
        <v>1.92</v>
      </c>
      <c r="M76" s="38">
        <f t="shared" si="10"/>
        <v>80</v>
      </c>
      <c r="N76" s="38">
        <f t="shared" si="11"/>
        <v>80</v>
      </c>
      <c r="O76" s="38"/>
    </row>
    <row r="77" spans="1:15">
      <c r="A77" s="38" t="s">
        <v>103</v>
      </c>
      <c r="B77" s="38" t="s">
        <v>185</v>
      </c>
      <c r="C77" s="38" t="s">
        <v>186</v>
      </c>
      <c r="D77" s="38" t="s">
        <v>190</v>
      </c>
      <c r="E77" s="38">
        <v>1</v>
      </c>
      <c r="F77" s="38">
        <v>60</v>
      </c>
      <c r="G77" s="38">
        <v>8</v>
      </c>
      <c r="H77" s="38">
        <v>1</v>
      </c>
      <c r="I77" s="38" t="s">
        <v>157</v>
      </c>
      <c r="J77" s="38">
        <v>1.2</v>
      </c>
      <c r="K77" s="38">
        <f t="shared" si="8"/>
        <v>480</v>
      </c>
      <c r="L77" s="38">
        <f t="shared" si="9"/>
        <v>0.48</v>
      </c>
      <c r="M77" s="38">
        <f t="shared" si="10"/>
        <v>60</v>
      </c>
      <c r="N77" s="38">
        <f t="shared" si="11"/>
        <v>72</v>
      </c>
      <c r="O77" s="38"/>
    </row>
    <row r="78" spans="1:15">
      <c r="A78" s="38" t="s">
        <v>103</v>
      </c>
      <c r="B78" s="38" t="s">
        <v>185</v>
      </c>
      <c r="C78" s="38" t="s">
        <v>186</v>
      </c>
      <c r="D78" s="38" t="s">
        <v>191</v>
      </c>
      <c r="E78" s="38">
        <v>1</v>
      </c>
      <c r="F78" s="38">
        <v>100</v>
      </c>
      <c r="G78" s="38">
        <v>6</v>
      </c>
      <c r="H78" s="38">
        <v>1</v>
      </c>
      <c r="I78" s="38" t="s">
        <v>157</v>
      </c>
      <c r="J78" s="38">
        <v>1.2</v>
      </c>
      <c r="K78" s="38">
        <f t="shared" si="8"/>
        <v>600</v>
      </c>
      <c r="L78" s="38">
        <f t="shared" si="9"/>
        <v>0.6</v>
      </c>
      <c r="M78" s="38">
        <f t="shared" si="10"/>
        <v>100</v>
      </c>
      <c r="N78" s="38">
        <f t="shared" si="11"/>
        <v>120</v>
      </c>
      <c r="O78" s="38"/>
    </row>
    <row r="79" spans="1:15">
      <c r="A79" s="38" t="s">
        <v>103</v>
      </c>
      <c r="B79" s="38" t="s">
        <v>185</v>
      </c>
      <c r="C79" s="38" t="s">
        <v>186</v>
      </c>
      <c r="D79" s="38" t="s">
        <v>192</v>
      </c>
      <c r="E79" s="38">
        <v>1</v>
      </c>
      <c r="F79" s="38">
        <v>30</v>
      </c>
      <c r="G79" s="38">
        <v>24</v>
      </c>
      <c r="H79" s="38">
        <v>1</v>
      </c>
      <c r="I79" s="38" t="s">
        <v>98</v>
      </c>
      <c r="J79" s="38">
        <v>1</v>
      </c>
      <c r="K79" s="38">
        <f t="shared" si="8"/>
        <v>720</v>
      </c>
      <c r="L79" s="38">
        <f t="shared" si="9"/>
        <v>0.72</v>
      </c>
      <c r="M79" s="38">
        <f t="shared" si="10"/>
        <v>30</v>
      </c>
      <c r="N79" s="38">
        <f t="shared" si="11"/>
        <v>30</v>
      </c>
      <c r="O79" s="38"/>
    </row>
    <row r="80" spans="1:15">
      <c r="A80" s="38" t="s">
        <v>103</v>
      </c>
      <c r="B80" s="38" t="s">
        <v>185</v>
      </c>
      <c r="C80" s="38" t="s">
        <v>186</v>
      </c>
      <c r="D80" s="38" t="s">
        <v>130</v>
      </c>
      <c r="E80" s="38">
        <v>1</v>
      </c>
      <c r="F80" s="38">
        <v>1500</v>
      </c>
      <c r="G80" s="38">
        <v>2</v>
      </c>
      <c r="H80" s="38">
        <v>1</v>
      </c>
      <c r="I80" s="38" t="s">
        <v>98</v>
      </c>
      <c r="J80" s="38">
        <v>3</v>
      </c>
      <c r="K80" s="38">
        <f t="shared" si="8"/>
        <v>3000</v>
      </c>
      <c r="L80" s="38">
        <f t="shared" si="9"/>
        <v>3</v>
      </c>
      <c r="M80" s="38">
        <f t="shared" si="10"/>
        <v>1500</v>
      </c>
      <c r="N80" s="38">
        <f t="shared" si="11"/>
        <v>4500</v>
      </c>
      <c r="O80" s="38"/>
    </row>
    <row r="81" spans="1:15">
      <c r="A81" s="38" t="s">
        <v>103</v>
      </c>
      <c r="B81" s="38" t="s">
        <v>185</v>
      </c>
      <c r="C81" s="38" t="s">
        <v>186</v>
      </c>
      <c r="D81" s="38" t="s">
        <v>193</v>
      </c>
      <c r="E81" s="38">
        <v>1</v>
      </c>
      <c r="F81" s="38">
        <v>1100</v>
      </c>
      <c r="G81" s="38">
        <v>2</v>
      </c>
      <c r="H81" s="38">
        <v>1</v>
      </c>
      <c r="I81" s="38" t="s">
        <v>98</v>
      </c>
      <c r="J81" s="38">
        <v>3</v>
      </c>
      <c r="K81" s="38">
        <f t="shared" si="8"/>
        <v>2200</v>
      </c>
      <c r="L81" s="38">
        <f t="shared" si="9"/>
        <v>2.2000000000000002</v>
      </c>
      <c r="M81" s="38">
        <f t="shared" si="10"/>
        <v>1100</v>
      </c>
      <c r="N81" s="38">
        <f t="shared" si="11"/>
        <v>3300</v>
      </c>
      <c r="O81" s="38"/>
    </row>
    <row r="82" spans="1:15">
      <c r="A82" s="38" t="s">
        <v>103</v>
      </c>
      <c r="B82" s="38" t="s">
        <v>185</v>
      </c>
      <c r="C82" s="38" t="s">
        <v>186</v>
      </c>
      <c r="D82" s="38" t="s">
        <v>194</v>
      </c>
      <c r="E82" s="38">
        <v>1</v>
      </c>
      <c r="F82" s="38">
        <v>150</v>
      </c>
      <c r="G82" s="38">
        <v>24</v>
      </c>
      <c r="H82" s="38">
        <v>0.4</v>
      </c>
      <c r="I82" s="38" t="s">
        <v>157</v>
      </c>
      <c r="J82" s="38">
        <v>2</v>
      </c>
      <c r="K82" s="38">
        <f t="shared" si="8"/>
        <v>1440</v>
      </c>
      <c r="L82" s="38">
        <f t="shared" si="9"/>
        <v>1.44</v>
      </c>
      <c r="M82" s="38">
        <f t="shared" si="10"/>
        <v>150</v>
      </c>
      <c r="N82" s="38">
        <f t="shared" si="11"/>
        <v>300</v>
      </c>
      <c r="O82" s="38"/>
    </row>
    <row r="83" spans="1:15">
      <c r="A83" s="38" t="s">
        <v>19</v>
      </c>
      <c r="B83" s="38" t="s">
        <v>195</v>
      </c>
      <c r="C83" s="38" t="s">
        <v>162</v>
      </c>
      <c r="D83" s="38" t="s">
        <v>154</v>
      </c>
      <c r="E83" s="38">
        <v>10</v>
      </c>
      <c r="F83" s="38">
        <v>10</v>
      </c>
      <c r="G83" s="38">
        <v>6</v>
      </c>
      <c r="H83" s="38">
        <v>1</v>
      </c>
      <c r="I83" s="38" t="s">
        <v>98</v>
      </c>
      <c r="J83" s="38">
        <v>1</v>
      </c>
      <c r="K83" s="38">
        <f t="shared" si="8"/>
        <v>600</v>
      </c>
      <c r="L83" s="38">
        <f t="shared" si="9"/>
        <v>0.6</v>
      </c>
      <c r="M83" s="38">
        <f t="shared" si="10"/>
        <v>100</v>
      </c>
      <c r="N83" s="38">
        <f t="shared" si="11"/>
        <v>100</v>
      </c>
      <c r="O83" s="38"/>
    </row>
    <row r="84" spans="1:15">
      <c r="A84" s="38" t="s">
        <v>19</v>
      </c>
      <c r="B84" s="38" t="s">
        <v>195</v>
      </c>
      <c r="C84" s="38" t="s">
        <v>162</v>
      </c>
      <c r="D84" s="38" t="s">
        <v>156</v>
      </c>
      <c r="E84" s="38">
        <v>2</v>
      </c>
      <c r="F84" s="38">
        <v>60</v>
      </c>
      <c r="G84" s="38">
        <v>8</v>
      </c>
      <c r="H84" s="38">
        <v>1</v>
      </c>
      <c r="I84" s="38" t="s">
        <v>98</v>
      </c>
      <c r="J84" s="38">
        <v>1.2</v>
      </c>
      <c r="K84" s="38">
        <f t="shared" si="8"/>
        <v>960</v>
      </c>
      <c r="L84" s="38">
        <f t="shared" si="9"/>
        <v>0.96</v>
      </c>
      <c r="M84" s="38">
        <f t="shared" si="10"/>
        <v>120</v>
      </c>
      <c r="N84" s="38">
        <f t="shared" si="11"/>
        <v>144</v>
      </c>
      <c r="O84" s="38"/>
    </row>
    <row r="85" spans="1:15">
      <c r="A85" s="38" t="s">
        <v>19</v>
      </c>
      <c r="B85" s="38" t="s">
        <v>195</v>
      </c>
      <c r="C85" s="38" t="s">
        <v>162</v>
      </c>
      <c r="D85" s="38" t="s">
        <v>71</v>
      </c>
      <c r="E85" s="38">
        <v>1</v>
      </c>
      <c r="F85" s="38">
        <v>100</v>
      </c>
      <c r="G85" s="38">
        <v>6</v>
      </c>
      <c r="H85" s="38">
        <v>1</v>
      </c>
      <c r="I85" s="38" t="s">
        <v>157</v>
      </c>
      <c r="J85" s="38">
        <v>1.2</v>
      </c>
      <c r="K85" s="38">
        <f t="shared" si="8"/>
        <v>600</v>
      </c>
      <c r="L85" s="38">
        <f t="shared" si="9"/>
        <v>0.6</v>
      </c>
      <c r="M85" s="38">
        <f t="shared" si="10"/>
        <v>100</v>
      </c>
      <c r="N85" s="38">
        <f t="shared" si="11"/>
        <v>120</v>
      </c>
      <c r="O85" s="38"/>
    </row>
    <row r="86" spans="1:15">
      <c r="A86" s="38" t="s">
        <v>19</v>
      </c>
      <c r="B86" s="38" t="s">
        <v>195</v>
      </c>
      <c r="C86" s="38" t="s">
        <v>162</v>
      </c>
      <c r="D86" s="38" t="s">
        <v>134</v>
      </c>
      <c r="E86" s="38">
        <v>1</v>
      </c>
      <c r="F86" s="38">
        <v>25</v>
      </c>
      <c r="G86" s="38">
        <v>6</v>
      </c>
      <c r="H86" s="38">
        <v>1</v>
      </c>
      <c r="I86" s="38" t="s">
        <v>157</v>
      </c>
      <c r="J86" s="38">
        <v>1</v>
      </c>
      <c r="K86" s="38">
        <f t="shared" si="8"/>
        <v>150</v>
      </c>
      <c r="L86" s="38">
        <f t="shared" si="9"/>
        <v>0.15</v>
      </c>
      <c r="M86" s="38">
        <f t="shared" si="10"/>
        <v>25</v>
      </c>
      <c r="N86" s="38">
        <f t="shared" si="11"/>
        <v>25</v>
      </c>
      <c r="O86" s="38"/>
    </row>
    <row r="87" spans="1:15">
      <c r="A87" s="38" t="s">
        <v>19</v>
      </c>
      <c r="B87" s="38" t="s">
        <v>195</v>
      </c>
      <c r="C87" s="38" t="s">
        <v>162</v>
      </c>
      <c r="D87" s="38" t="s">
        <v>76</v>
      </c>
      <c r="E87" s="38">
        <v>1</v>
      </c>
      <c r="F87" s="38">
        <v>150</v>
      </c>
      <c r="G87" s="38">
        <v>24</v>
      </c>
      <c r="H87" s="38">
        <v>0.4</v>
      </c>
      <c r="I87" s="38" t="s">
        <v>98</v>
      </c>
      <c r="J87" s="38">
        <v>2</v>
      </c>
      <c r="K87" s="38">
        <f t="shared" si="8"/>
        <v>1440</v>
      </c>
      <c r="L87" s="38">
        <f t="shared" si="9"/>
        <v>1.44</v>
      </c>
      <c r="M87" s="38">
        <f t="shared" si="10"/>
        <v>150</v>
      </c>
      <c r="N87" s="38">
        <f t="shared" si="11"/>
        <v>300</v>
      </c>
      <c r="O87" s="38"/>
    </row>
    <row r="88" spans="1:15">
      <c r="A88" s="38" t="s">
        <v>19</v>
      </c>
      <c r="B88" s="38" t="s">
        <v>195</v>
      </c>
      <c r="C88" s="38" t="s">
        <v>162</v>
      </c>
      <c r="D88" s="38" t="s">
        <v>136</v>
      </c>
      <c r="E88" s="38">
        <v>1</v>
      </c>
      <c r="F88" s="38">
        <v>15</v>
      </c>
      <c r="G88" s="38">
        <v>24</v>
      </c>
      <c r="H88" s="38">
        <v>1</v>
      </c>
      <c r="I88" s="38" t="s">
        <v>98</v>
      </c>
      <c r="J88" s="38">
        <v>1</v>
      </c>
      <c r="K88" s="38">
        <f t="shared" si="8"/>
        <v>360</v>
      </c>
      <c r="L88" s="38">
        <f t="shared" si="9"/>
        <v>0.36</v>
      </c>
      <c r="M88" s="38">
        <f t="shared" si="10"/>
        <v>15</v>
      </c>
      <c r="N88" s="38">
        <f t="shared" si="11"/>
        <v>15</v>
      </c>
      <c r="O88" s="38"/>
    </row>
    <row r="89" spans="1:15">
      <c r="A89" s="38" t="s">
        <v>19</v>
      </c>
      <c r="B89" s="38" t="s">
        <v>195</v>
      </c>
      <c r="C89" s="38" t="s">
        <v>162</v>
      </c>
      <c r="D89" s="38" t="s">
        <v>73</v>
      </c>
      <c r="E89" s="38">
        <v>1</v>
      </c>
      <c r="F89" s="38">
        <v>65</v>
      </c>
      <c r="G89" s="38">
        <v>5</v>
      </c>
      <c r="H89" s="38">
        <v>1</v>
      </c>
      <c r="I89" s="38" t="s">
        <v>157</v>
      </c>
      <c r="J89" s="38">
        <v>1</v>
      </c>
      <c r="K89" s="38">
        <f t="shared" si="8"/>
        <v>325</v>
      </c>
      <c r="L89" s="38">
        <f t="shared" si="9"/>
        <v>0.32500000000000001</v>
      </c>
      <c r="M89" s="38">
        <f t="shared" si="10"/>
        <v>65</v>
      </c>
      <c r="N89" s="38">
        <f t="shared" si="11"/>
        <v>65</v>
      </c>
      <c r="O89" s="38"/>
    </row>
    <row r="90" spans="1:15">
      <c r="A90" s="38" t="s">
        <v>19</v>
      </c>
      <c r="B90" s="38" t="s">
        <v>195</v>
      </c>
      <c r="C90" s="38" t="s">
        <v>162</v>
      </c>
      <c r="D90" s="38" t="s">
        <v>138</v>
      </c>
      <c r="E90" s="38">
        <v>3</v>
      </c>
      <c r="F90" s="38">
        <v>10</v>
      </c>
      <c r="G90" s="38">
        <v>3</v>
      </c>
      <c r="H90" s="38">
        <v>1</v>
      </c>
      <c r="I90" s="38" t="s">
        <v>98</v>
      </c>
      <c r="J90" s="38">
        <v>1</v>
      </c>
      <c r="K90" s="38">
        <f t="shared" si="8"/>
        <v>90</v>
      </c>
      <c r="L90" s="38">
        <f t="shared" si="9"/>
        <v>0.09</v>
      </c>
      <c r="M90" s="38">
        <f t="shared" si="10"/>
        <v>30</v>
      </c>
      <c r="N90" s="38">
        <f t="shared" si="11"/>
        <v>30</v>
      </c>
      <c r="O90" s="38"/>
    </row>
    <row r="91" spans="1:15">
      <c r="A91" s="38" t="s">
        <v>19</v>
      </c>
      <c r="B91" s="38" t="s">
        <v>195</v>
      </c>
      <c r="C91" s="38" t="s">
        <v>162</v>
      </c>
      <c r="D91" s="38" t="s">
        <v>167</v>
      </c>
      <c r="E91" s="38">
        <v>1</v>
      </c>
      <c r="F91" s="38">
        <v>900</v>
      </c>
      <c r="G91" s="38">
        <v>6</v>
      </c>
      <c r="H91" s="38">
        <v>0.6</v>
      </c>
      <c r="I91" s="38" t="s">
        <v>157</v>
      </c>
      <c r="J91" s="38">
        <v>3</v>
      </c>
      <c r="K91" s="38">
        <f t="shared" si="8"/>
        <v>3240</v>
      </c>
      <c r="L91" s="38">
        <f t="shared" si="9"/>
        <v>3.24</v>
      </c>
      <c r="M91" s="38">
        <f t="shared" si="10"/>
        <v>900</v>
      </c>
      <c r="N91" s="38">
        <f t="shared" si="11"/>
        <v>2700</v>
      </c>
      <c r="O91" s="38"/>
    </row>
    <row r="92" spans="1:15">
      <c r="A92" s="38" t="s">
        <v>19</v>
      </c>
      <c r="B92" s="38" t="s">
        <v>195</v>
      </c>
      <c r="C92" s="38" t="s">
        <v>162</v>
      </c>
      <c r="D92" s="38" t="s">
        <v>196</v>
      </c>
      <c r="E92" s="38">
        <v>1</v>
      </c>
      <c r="F92" s="38">
        <v>300</v>
      </c>
      <c r="G92" s="38">
        <v>0.5</v>
      </c>
      <c r="H92" s="38">
        <v>1</v>
      </c>
      <c r="I92" s="38" t="s">
        <v>98</v>
      </c>
      <c r="J92" s="38">
        <v>3</v>
      </c>
      <c r="K92" s="38">
        <f t="shared" si="8"/>
        <v>150</v>
      </c>
      <c r="L92" s="38">
        <f t="shared" si="9"/>
        <v>0.15</v>
      </c>
      <c r="M92" s="38">
        <f t="shared" si="10"/>
        <v>300</v>
      </c>
      <c r="N92" s="38">
        <f t="shared" si="11"/>
        <v>900</v>
      </c>
      <c r="O92" s="38"/>
    </row>
    <row r="93" spans="1:15">
      <c r="A93" s="38" t="s">
        <v>19</v>
      </c>
      <c r="B93" s="38" t="s">
        <v>197</v>
      </c>
      <c r="C93" s="38" t="s">
        <v>198</v>
      </c>
      <c r="D93" s="38" t="s">
        <v>199</v>
      </c>
      <c r="E93" s="38">
        <v>24</v>
      </c>
      <c r="F93" s="38">
        <v>10</v>
      </c>
      <c r="G93" s="38">
        <v>7</v>
      </c>
      <c r="H93" s="38">
        <v>1</v>
      </c>
      <c r="I93" s="38" t="s">
        <v>98</v>
      </c>
      <c r="J93" s="38">
        <v>1</v>
      </c>
      <c r="K93" s="38">
        <f t="shared" ref="K93:K156" si="12">E93*F93*G93*H93</f>
        <v>1680</v>
      </c>
      <c r="L93" s="38">
        <f t="shared" ref="L93:L156" si="13">K93/1000</f>
        <v>1.68</v>
      </c>
      <c r="M93" s="38">
        <f t="shared" ref="M93:M156" si="14">E93*F93</f>
        <v>240</v>
      </c>
      <c r="N93" s="38">
        <f t="shared" ref="N93:N156" si="15">M93*J93</f>
        <v>240</v>
      </c>
      <c r="O93" s="38"/>
    </row>
    <row r="94" spans="1:15">
      <c r="A94" s="38" t="s">
        <v>19</v>
      </c>
      <c r="B94" s="38" t="s">
        <v>197</v>
      </c>
      <c r="C94" s="38" t="s">
        <v>198</v>
      </c>
      <c r="D94" s="38" t="s">
        <v>200</v>
      </c>
      <c r="E94" s="38">
        <v>12</v>
      </c>
      <c r="F94" s="38">
        <v>20</v>
      </c>
      <c r="G94" s="38">
        <v>12</v>
      </c>
      <c r="H94" s="38">
        <v>1</v>
      </c>
      <c r="I94" s="38" t="s">
        <v>98</v>
      </c>
      <c r="J94" s="38">
        <v>1</v>
      </c>
      <c r="K94" s="38">
        <f t="shared" si="12"/>
        <v>2880</v>
      </c>
      <c r="L94" s="38">
        <f t="shared" si="13"/>
        <v>2.88</v>
      </c>
      <c r="M94" s="38">
        <f t="shared" si="14"/>
        <v>240</v>
      </c>
      <c r="N94" s="38">
        <f t="shared" si="15"/>
        <v>240</v>
      </c>
      <c r="O94" s="38"/>
    </row>
    <row r="95" spans="1:15">
      <c r="A95" s="38" t="s">
        <v>19</v>
      </c>
      <c r="B95" s="38" t="s">
        <v>197</v>
      </c>
      <c r="C95" s="38" t="s">
        <v>198</v>
      </c>
      <c r="D95" s="38" t="s">
        <v>201</v>
      </c>
      <c r="E95" s="38">
        <v>6</v>
      </c>
      <c r="F95" s="38">
        <v>100</v>
      </c>
      <c r="G95" s="38">
        <v>6</v>
      </c>
      <c r="H95" s="38">
        <v>1</v>
      </c>
      <c r="I95" s="38" t="s">
        <v>157</v>
      </c>
      <c r="J95" s="38">
        <v>1.2</v>
      </c>
      <c r="K95" s="38">
        <f t="shared" si="12"/>
        <v>3600</v>
      </c>
      <c r="L95" s="38">
        <f t="shared" si="13"/>
        <v>3.6</v>
      </c>
      <c r="M95" s="38">
        <f t="shared" si="14"/>
        <v>600</v>
      </c>
      <c r="N95" s="38">
        <f t="shared" si="15"/>
        <v>720</v>
      </c>
      <c r="O95" s="38"/>
    </row>
    <row r="96" spans="1:15">
      <c r="A96" s="38" t="s">
        <v>19</v>
      </c>
      <c r="B96" s="38" t="s">
        <v>197</v>
      </c>
      <c r="C96" s="38" t="s">
        <v>198</v>
      </c>
      <c r="D96" s="38" t="s">
        <v>202</v>
      </c>
      <c r="E96" s="38">
        <v>6</v>
      </c>
      <c r="F96" s="38">
        <v>60</v>
      </c>
      <c r="G96" s="38">
        <v>8</v>
      </c>
      <c r="H96" s="38">
        <v>1</v>
      </c>
      <c r="I96" s="38" t="s">
        <v>157</v>
      </c>
      <c r="J96" s="38">
        <v>1.2</v>
      </c>
      <c r="K96" s="38">
        <f t="shared" si="12"/>
        <v>2880</v>
      </c>
      <c r="L96" s="38">
        <f t="shared" si="13"/>
        <v>2.88</v>
      </c>
      <c r="M96" s="38">
        <f t="shared" si="14"/>
        <v>360</v>
      </c>
      <c r="N96" s="38">
        <f t="shared" si="15"/>
        <v>432</v>
      </c>
      <c r="O96" s="38"/>
    </row>
    <row r="97" spans="1:15">
      <c r="A97" s="38" t="s">
        <v>19</v>
      </c>
      <c r="B97" s="38" t="s">
        <v>197</v>
      </c>
      <c r="C97" s="38" t="s">
        <v>198</v>
      </c>
      <c r="D97" s="38" t="s">
        <v>167</v>
      </c>
      <c r="E97" s="38">
        <v>6</v>
      </c>
      <c r="F97" s="38">
        <v>900</v>
      </c>
      <c r="G97" s="38">
        <v>6</v>
      </c>
      <c r="H97" s="38">
        <v>0.6</v>
      </c>
      <c r="I97" s="38" t="s">
        <v>157</v>
      </c>
      <c r="J97" s="38">
        <v>3</v>
      </c>
      <c r="K97" s="38">
        <f t="shared" si="12"/>
        <v>19440</v>
      </c>
      <c r="L97" s="38">
        <f t="shared" si="13"/>
        <v>19.440000000000001</v>
      </c>
      <c r="M97" s="38">
        <f t="shared" si="14"/>
        <v>5400</v>
      </c>
      <c r="N97" s="38">
        <f t="shared" si="15"/>
        <v>16200</v>
      </c>
      <c r="O97" s="38"/>
    </row>
    <row r="98" spans="1:15">
      <c r="A98" s="38" t="s">
        <v>19</v>
      </c>
      <c r="B98" s="38" t="s">
        <v>197</v>
      </c>
      <c r="C98" s="38" t="s">
        <v>198</v>
      </c>
      <c r="D98" s="38" t="s">
        <v>203</v>
      </c>
      <c r="E98" s="38">
        <v>1</v>
      </c>
      <c r="F98" s="38">
        <v>150</v>
      </c>
      <c r="G98" s="38">
        <v>10</v>
      </c>
      <c r="H98" s="38">
        <v>1</v>
      </c>
      <c r="I98" s="38" t="s">
        <v>98</v>
      </c>
      <c r="J98" s="38">
        <v>1.5</v>
      </c>
      <c r="K98" s="38">
        <f t="shared" si="12"/>
        <v>1500</v>
      </c>
      <c r="L98" s="38">
        <f t="shared" si="13"/>
        <v>1.5</v>
      </c>
      <c r="M98" s="38">
        <f t="shared" si="14"/>
        <v>150</v>
      </c>
      <c r="N98" s="38">
        <f t="shared" si="15"/>
        <v>225</v>
      </c>
      <c r="O98" s="38"/>
    </row>
    <row r="99" spans="1:15">
      <c r="A99" s="38" t="s">
        <v>19</v>
      </c>
      <c r="B99" s="38" t="s">
        <v>197</v>
      </c>
      <c r="C99" s="38" t="s">
        <v>198</v>
      </c>
      <c r="D99" s="38" t="s">
        <v>204</v>
      </c>
      <c r="E99" s="38">
        <v>1</v>
      </c>
      <c r="F99" s="38">
        <v>60</v>
      </c>
      <c r="G99" s="38">
        <v>24</v>
      </c>
      <c r="H99" s="38">
        <v>1</v>
      </c>
      <c r="I99" s="38" t="s">
        <v>98</v>
      </c>
      <c r="J99" s="38">
        <v>1</v>
      </c>
      <c r="K99" s="38">
        <f t="shared" si="12"/>
        <v>1440</v>
      </c>
      <c r="L99" s="38">
        <f t="shared" si="13"/>
        <v>1.44</v>
      </c>
      <c r="M99" s="38">
        <f t="shared" si="14"/>
        <v>60</v>
      </c>
      <c r="N99" s="38">
        <f t="shared" si="15"/>
        <v>60</v>
      </c>
      <c r="O99" s="38"/>
    </row>
    <row r="100" spans="1:15">
      <c r="A100" s="38" t="s">
        <v>19</v>
      </c>
      <c r="B100" s="38" t="s">
        <v>197</v>
      </c>
      <c r="C100" s="38" t="s">
        <v>198</v>
      </c>
      <c r="D100" s="38" t="s">
        <v>205</v>
      </c>
      <c r="E100" s="38">
        <v>1</v>
      </c>
      <c r="F100" s="38">
        <v>100</v>
      </c>
      <c r="G100" s="38">
        <v>24</v>
      </c>
      <c r="H100" s="38">
        <v>1</v>
      </c>
      <c r="I100" s="38" t="s">
        <v>98</v>
      </c>
      <c r="J100" s="38">
        <v>1</v>
      </c>
      <c r="K100" s="38">
        <f t="shared" si="12"/>
        <v>2400</v>
      </c>
      <c r="L100" s="38">
        <f t="shared" si="13"/>
        <v>2.4</v>
      </c>
      <c r="M100" s="38">
        <f t="shared" si="14"/>
        <v>100</v>
      </c>
      <c r="N100" s="38">
        <f t="shared" si="15"/>
        <v>100</v>
      </c>
      <c r="O100" s="38"/>
    </row>
    <row r="101" spans="1:15">
      <c r="A101" s="38" t="s">
        <v>19</v>
      </c>
      <c r="B101" s="38" t="s">
        <v>197</v>
      </c>
      <c r="C101" s="38" t="s">
        <v>198</v>
      </c>
      <c r="D101" s="38" t="s">
        <v>99</v>
      </c>
      <c r="E101" s="38">
        <v>1</v>
      </c>
      <c r="F101" s="38">
        <v>1100</v>
      </c>
      <c r="G101" s="38">
        <v>2</v>
      </c>
      <c r="H101" s="38">
        <v>1</v>
      </c>
      <c r="I101" s="38" t="s">
        <v>98</v>
      </c>
      <c r="J101" s="38">
        <v>3</v>
      </c>
      <c r="K101" s="38">
        <f t="shared" si="12"/>
        <v>2200</v>
      </c>
      <c r="L101" s="38">
        <f t="shared" si="13"/>
        <v>2.2000000000000002</v>
      </c>
      <c r="M101" s="38">
        <f t="shared" si="14"/>
        <v>1100</v>
      </c>
      <c r="N101" s="38">
        <f t="shared" si="15"/>
        <v>3300</v>
      </c>
      <c r="O101" s="38"/>
    </row>
    <row r="102" spans="1:15">
      <c r="A102" s="38" t="s">
        <v>19</v>
      </c>
      <c r="B102" s="38" t="s">
        <v>197</v>
      </c>
      <c r="C102" s="38" t="s">
        <v>198</v>
      </c>
      <c r="D102" s="38" t="s">
        <v>206</v>
      </c>
      <c r="E102" s="38">
        <v>1</v>
      </c>
      <c r="F102" s="38">
        <v>300</v>
      </c>
      <c r="G102" s="38">
        <v>24</v>
      </c>
      <c r="H102" s="38">
        <v>0.5</v>
      </c>
      <c r="I102" s="38" t="s">
        <v>98</v>
      </c>
      <c r="J102" s="38">
        <v>2.5</v>
      </c>
      <c r="K102" s="38">
        <f t="shared" si="12"/>
        <v>3600</v>
      </c>
      <c r="L102" s="38">
        <f t="shared" si="13"/>
        <v>3.6</v>
      </c>
      <c r="M102" s="38">
        <f t="shared" si="14"/>
        <v>300</v>
      </c>
      <c r="N102" s="38">
        <f t="shared" si="15"/>
        <v>750</v>
      </c>
      <c r="O102" s="38"/>
    </row>
    <row r="103" spans="1:15">
      <c r="A103" s="38" t="s">
        <v>19</v>
      </c>
      <c r="B103" s="38" t="s">
        <v>207</v>
      </c>
      <c r="C103" s="38" t="s">
        <v>198</v>
      </c>
      <c r="D103" s="38" t="s">
        <v>199</v>
      </c>
      <c r="E103" s="38">
        <v>48</v>
      </c>
      <c r="F103" s="38">
        <v>10</v>
      </c>
      <c r="G103" s="38">
        <v>7</v>
      </c>
      <c r="H103" s="38">
        <v>1</v>
      </c>
      <c r="I103" s="38" t="s">
        <v>98</v>
      </c>
      <c r="J103" s="38">
        <v>1</v>
      </c>
      <c r="K103" s="38">
        <f t="shared" si="12"/>
        <v>3360</v>
      </c>
      <c r="L103" s="38">
        <f t="shared" si="13"/>
        <v>3.36</v>
      </c>
      <c r="M103" s="38">
        <f t="shared" si="14"/>
        <v>480</v>
      </c>
      <c r="N103" s="38">
        <f t="shared" si="15"/>
        <v>480</v>
      </c>
      <c r="O103" s="38"/>
    </row>
    <row r="104" spans="1:15">
      <c r="A104" s="38" t="s">
        <v>19</v>
      </c>
      <c r="B104" s="38" t="s">
        <v>207</v>
      </c>
      <c r="C104" s="38" t="s">
        <v>198</v>
      </c>
      <c r="D104" s="38" t="s">
        <v>208</v>
      </c>
      <c r="E104" s="38">
        <v>20</v>
      </c>
      <c r="F104" s="38">
        <v>20</v>
      </c>
      <c r="G104" s="38">
        <v>12</v>
      </c>
      <c r="H104" s="38">
        <v>1</v>
      </c>
      <c r="I104" s="38" t="s">
        <v>98</v>
      </c>
      <c r="J104" s="38">
        <v>1</v>
      </c>
      <c r="K104" s="38">
        <f t="shared" si="12"/>
        <v>4800</v>
      </c>
      <c r="L104" s="38">
        <f t="shared" si="13"/>
        <v>4.8</v>
      </c>
      <c r="M104" s="38">
        <f t="shared" si="14"/>
        <v>400</v>
      </c>
      <c r="N104" s="38">
        <f t="shared" si="15"/>
        <v>400</v>
      </c>
      <c r="O104" s="38"/>
    </row>
    <row r="105" spans="1:15">
      <c r="A105" s="38" t="s">
        <v>19</v>
      </c>
      <c r="B105" s="38" t="s">
        <v>207</v>
      </c>
      <c r="C105" s="38" t="s">
        <v>198</v>
      </c>
      <c r="D105" s="38" t="s">
        <v>201</v>
      </c>
      <c r="E105" s="38">
        <v>12</v>
      </c>
      <c r="F105" s="38">
        <v>100</v>
      </c>
      <c r="G105" s="38">
        <v>5</v>
      </c>
      <c r="H105" s="38">
        <v>1</v>
      </c>
      <c r="I105" s="38" t="s">
        <v>157</v>
      </c>
      <c r="J105" s="38">
        <v>1.2</v>
      </c>
      <c r="K105" s="38">
        <f t="shared" si="12"/>
        <v>6000</v>
      </c>
      <c r="L105" s="38">
        <f t="shared" si="13"/>
        <v>6</v>
      </c>
      <c r="M105" s="38">
        <f t="shared" si="14"/>
        <v>1200</v>
      </c>
      <c r="N105" s="38">
        <f t="shared" si="15"/>
        <v>1440</v>
      </c>
      <c r="O105" s="38"/>
    </row>
    <row r="106" spans="1:15">
      <c r="A106" s="38" t="s">
        <v>19</v>
      </c>
      <c r="B106" s="38" t="s">
        <v>207</v>
      </c>
      <c r="C106" s="38" t="s">
        <v>198</v>
      </c>
      <c r="D106" s="38" t="s">
        <v>209</v>
      </c>
      <c r="E106" s="38">
        <v>6</v>
      </c>
      <c r="F106" s="38">
        <v>900</v>
      </c>
      <c r="G106" s="38">
        <v>6</v>
      </c>
      <c r="H106" s="38">
        <v>0.6</v>
      </c>
      <c r="I106" s="38" t="s">
        <v>157</v>
      </c>
      <c r="J106" s="38">
        <v>3</v>
      </c>
      <c r="K106" s="38">
        <f t="shared" si="12"/>
        <v>19440</v>
      </c>
      <c r="L106" s="38">
        <f t="shared" si="13"/>
        <v>19.440000000000001</v>
      </c>
      <c r="M106" s="38">
        <f t="shared" si="14"/>
        <v>5400</v>
      </c>
      <c r="N106" s="38">
        <f t="shared" si="15"/>
        <v>16200</v>
      </c>
      <c r="O106" s="38"/>
    </row>
    <row r="107" spans="1:15">
      <c r="A107" s="38" t="s">
        <v>19</v>
      </c>
      <c r="B107" s="38" t="s">
        <v>207</v>
      </c>
      <c r="C107" s="38" t="s">
        <v>198</v>
      </c>
      <c r="D107" s="38" t="s">
        <v>210</v>
      </c>
      <c r="E107" s="38">
        <v>1</v>
      </c>
      <c r="F107" s="38">
        <v>300</v>
      </c>
      <c r="G107" s="38">
        <v>12</v>
      </c>
      <c r="H107" s="38">
        <v>1</v>
      </c>
      <c r="I107" s="38" t="s">
        <v>98</v>
      </c>
      <c r="J107" s="38">
        <v>1.5</v>
      </c>
      <c r="K107" s="38">
        <f t="shared" si="12"/>
        <v>3600</v>
      </c>
      <c r="L107" s="38">
        <f t="shared" si="13"/>
        <v>3.6</v>
      </c>
      <c r="M107" s="38">
        <f t="shared" si="14"/>
        <v>300</v>
      </c>
      <c r="N107" s="38">
        <f t="shared" si="15"/>
        <v>450</v>
      </c>
      <c r="O107" s="38"/>
    </row>
    <row r="108" spans="1:15">
      <c r="A108" s="38" t="s">
        <v>19</v>
      </c>
      <c r="B108" s="38" t="s">
        <v>207</v>
      </c>
      <c r="C108" s="38" t="s">
        <v>198</v>
      </c>
      <c r="D108" s="38" t="s">
        <v>211</v>
      </c>
      <c r="E108" s="38">
        <v>1</v>
      </c>
      <c r="F108" s="38">
        <v>200</v>
      </c>
      <c r="G108" s="38">
        <v>24</v>
      </c>
      <c r="H108" s="38">
        <v>1</v>
      </c>
      <c r="I108" s="38" t="s">
        <v>98</v>
      </c>
      <c r="J108" s="38">
        <v>1</v>
      </c>
      <c r="K108" s="38">
        <f t="shared" si="12"/>
        <v>4800</v>
      </c>
      <c r="L108" s="38">
        <f t="shared" si="13"/>
        <v>4.8</v>
      </c>
      <c r="M108" s="38">
        <f t="shared" si="14"/>
        <v>200</v>
      </c>
      <c r="N108" s="38">
        <f t="shared" si="15"/>
        <v>200</v>
      </c>
      <c r="O108" s="38"/>
    </row>
    <row r="109" spans="1:15">
      <c r="A109" s="38" t="s">
        <v>19</v>
      </c>
      <c r="B109" s="38" t="s">
        <v>207</v>
      </c>
      <c r="C109" s="38" t="s">
        <v>198</v>
      </c>
      <c r="D109" s="38" t="s">
        <v>99</v>
      </c>
      <c r="E109" s="38">
        <v>1</v>
      </c>
      <c r="F109" s="38">
        <v>1500</v>
      </c>
      <c r="G109" s="38">
        <v>2.5</v>
      </c>
      <c r="H109" s="38">
        <v>1</v>
      </c>
      <c r="I109" s="38" t="s">
        <v>98</v>
      </c>
      <c r="J109" s="38">
        <v>3</v>
      </c>
      <c r="K109" s="38">
        <f t="shared" si="12"/>
        <v>3750</v>
      </c>
      <c r="L109" s="38">
        <f t="shared" si="13"/>
        <v>3.75</v>
      </c>
      <c r="M109" s="38">
        <f t="shared" si="14"/>
        <v>1500</v>
      </c>
      <c r="N109" s="38">
        <f t="shared" si="15"/>
        <v>4500</v>
      </c>
      <c r="O109" s="38"/>
    </row>
    <row r="110" spans="1:15">
      <c r="A110" s="38" t="s">
        <v>19</v>
      </c>
      <c r="B110" s="38" t="s">
        <v>207</v>
      </c>
      <c r="C110" s="38" t="s">
        <v>198</v>
      </c>
      <c r="D110" s="38" t="s">
        <v>212</v>
      </c>
      <c r="E110" s="38">
        <v>2</v>
      </c>
      <c r="F110" s="38">
        <v>300</v>
      </c>
      <c r="G110" s="38">
        <v>24</v>
      </c>
      <c r="H110" s="38">
        <v>0.5</v>
      </c>
      <c r="I110" s="38" t="s">
        <v>98</v>
      </c>
      <c r="J110" s="38">
        <v>2.5</v>
      </c>
      <c r="K110" s="38">
        <f t="shared" si="12"/>
        <v>7200</v>
      </c>
      <c r="L110" s="38">
        <f t="shared" si="13"/>
        <v>7.2</v>
      </c>
      <c r="M110" s="38">
        <f t="shared" si="14"/>
        <v>600</v>
      </c>
      <c r="N110" s="38">
        <f t="shared" si="15"/>
        <v>1500</v>
      </c>
      <c r="O110" s="38"/>
    </row>
    <row r="111" spans="1:15">
      <c r="A111" s="38" t="s">
        <v>19</v>
      </c>
      <c r="B111" s="38" t="s">
        <v>207</v>
      </c>
      <c r="C111" s="38" t="s">
        <v>198</v>
      </c>
      <c r="D111" s="38" t="s">
        <v>213</v>
      </c>
      <c r="E111" s="38">
        <v>1</v>
      </c>
      <c r="F111" s="38">
        <v>1000</v>
      </c>
      <c r="G111" s="38">
        <v>1</v>
      </c>
      <c r="H111" s="38">
        <v>1</v>
      </c>
      <c r="I111" s="38" t="s">
        <v>97</v>
      </c>
      <c r="J111" s="38">
        <v>2</v>
      </c>
      <c r="K111" s="38">
        <f t="shared" si="12"/>
        <v>1000</v>
      </c>
      <c r="L111" s="38">
        <f t="shared" si="13"/>
        <v>1</v>
      </c>
      <c r="M111" s="38">
        <f t="shared" si="14"/>
        <v>1000</v>
      </c>
      <c r="N111" s="38">
        <f t="shared" si="15"/>
        <v>2000</v>
      </c>
      <c r="O111" s="38"/>
    </row>
    <row r="112" spans="1:15">
      <c r="A112" s="38" t="s">
        <v>19</v>
      </c>
      <c r="B112" s="38" t="s">
        <v>214</v>
      </c>
      <c r="C112" s="38" t="s">
        <v>215</v>
      </c>
      <c r="D112" s="38" t="s">
        <v>199</v>
      </c>
      <c r="E112" s="38">
        <v>100</v>
      </c>
      <c r="F112" s="38">
        <v>10</v>
      </c>
      <c r="G112" s="38">
        <v>7</v>
      </c>
      <c r="H112" s="38">
        <v>1</v>
      </c>
      <c r="I112" s="38" t="s">
        <v>98</v>
      </c>
      <c r="J112" s="38">
        <v>1</v>
      </c>
      <c r="K112" s="38">
        <f t="shared" si="12"/>
        <v>7000</v>
      </c>
      <c r="L112" s="38">
        <f t="shared" si="13"/>
        <v>7</v>
      </c>
      <c r="M112" s="38">
        <f t="shared" si="14"/>
        <v>1000</v>
      </c>
      <c r="N112" s="38">
        <f t="shared" si="15"/>
        <v>1000</v>
      </c>
      <c r="O112" s="38"/>
    </row>
    <row r="113" spans="1:15">
      <c r="A113" s="38" t="s">
        <v>19</v>
      </c>
      <c r="B113" s="38" t="s">
        <v>214</v>
      </c>
      <c r="C113" s="38" t="s">
        <v>215</v>
      </c>
      <c r="D113" s="38" t="s">
        <v>208</v>
      </c>
      <c r="E113" s="38">
        <v>40</v>
      </c>
      <c r="F113" s="38">
        <v>20</v>
      </c>
      <c r="G113" s="38">
        <v>12</v>
      </c>
      <c r="H113" s="38">
        <v>1</v>
      </c>
      <c r="I113" s="38" t="s">
        <v>98</v>
      </c>
      <c r="J113" s="38">
        <v>1</v>
      </c>
      <c r="K113" s="38">
        <f t="shared" si="12"/>
        <v>9600</v>
      </c>
      <c r="L113" s="38">
        <f t="shared" si="13"/>
        <v>9.6</v>
      </c>
      <c r="M113" s="38">
        <f t="shared" si="14"/>
        <v>800</v>
      </c>
      <c r="N113" s="38">
        <f t="shared" si="15"/>
        <v>800</v>
      </c>
      <c r="O113" s="38"/>
    </row>
    <row r="114" spans="1:15">
      <c r="A114" s="38" t="s">
        <v>19</v>
      </c>
      <c r="B114" s="38" t="s">
        <v>214</v>
      </c>
      <c r="C114" s="38" t="s">
        <v>215</v>
      </c>
      <c r="D114" s="38" t="s">
        <v>216</v>
      </c>
      <c r="E114" s="38">
        <v>10</v>
      </c>
      <c r="F114" s="38">
        <v>900</v>
      </c>
      <c r="G114" s="38">
        <v>6</v>
      </c>
      <c r="H114" s="38">
        <v>0.6</v>
      </c>
      <c r="I114" s="38" t="s">
        <v>157</v>
      </c>
      <c r="J114" s="38">
        <v>3</v>
      </c>
      <c r="K114" s="38">
        <f t="shared" si="12"/>
        <v>32400</v>
      </c>
      <c r="L114" s="38">
        <f t="shared" si="13"/>
        <v>32.4</v>
      </c>
      <c r="M114" s="38">
        <f t="shared" si="14"/>
        <v>9000</v>
      </c>
      <c r="N114" s="38">
        <f t="shared" si="15"/>
        <v>27000</v>
      </c>
      <c r="O114" s="38"/>
    </row>
    <row r="115" spans="1:15">
      <c r="A115" s="38" t="s">
        <v>19</v>
      </c>
      <c r="B115" s="38" t="s">
        <v>214</v>
      </c>
      <c r="C115" s="38" t="s">
        <v>215</v>
      </c>
      <c r="D115" s="38" t="s">
        <v>217</v>
      </c>
      <c r="E115" s="38">
        <v>1</v>
      </c>
      <c r="F115" s="38">
        <v>600</v>
      </c>
      <c r="G115" s="38">
        <v>12</v>
      </c>
      <c r="H115" s="38">
        <v>1</v>
      </c>
      <c r="I115" s="38" t="s">
        <v>98</v>
      </c>
      <c r="J115" s="38">
        <v>1.5</v>
      </c>
      <c r="K115" s="38">
        <f t="shared" si="12"/>
        <v>7200</v>
      </c>
      <c r="L115" s="38">
        <f t="shared" si="13"/>
        <v>7.2</v>
      </c>
      <c r="M115" s="38">
        <f t="shared" si="14"/>
        <v>600</v>
      </c>
      <c r="N115" s="38">
        <f t="shared" si="15"/>
        <v>900</v>
      </c>
      <c r="O115" s="38"/>
    </row>
    <row r="116" spans="1:15">
      <c r="A116" s="38" t="s">
        <v>19</v>
      </c>
      <c r="B116" s="38" t="s">
        <v>214</v>
      </c>
      <c r="C116" s="38" t="s">
        <v>215</v>
      </c>
      <c r="D116" s="38" t="s">
        <v>218</v>
      </c>
      <c r="E116" s="38">
        <v>1</v>
      </c>
      <c r="F116" s="38">
        <v>400</v>
      </c>
      <c r="G116" s="38">
        <v>24</v>
      </c>
      <c r="H116" s="38">
        <v>1</v>
      </c>
      <c r="I116" s="38" t="s">
        <v>98</v>
      </c>
      <c r="J116" s="38">
        <v>1</v>
      </c>
      <c r="K116" s="38">
        <f t="shared" si="12"/>
        <v>9600</v>
      </c>
      <c r="L116" s="38">
        <f t="shared" si="13"/>
        <v>9.6</v>
      </c>
      <c r="M116" s="38">
        <f t="shared" si="14"/>
        <v>400</v>
      </c>
      <c r="N116" s="38">
        <f t="shared" si="15"/>
        <v>400</v>
      </c>
      <c r="O116" s="38"/>
    </row>
    <row r="117" spans="1:15">
      <c r="A117" s="38" t="s">
        <v>19</v>
      </c>
      <c r="B117" s="38" t="s">
        <v>214</v>
      </c>
      <c r="C117" s="38" t="s">
        <v>215</v>
      </c>
      <c r="D117" s="38" t="s">
        <v>99</v>
      </c>
      <c r="E117" s="38">
        <v>2</v>
      </c>
      <c r="F117" s="38">
        <v>1500</v>
      </c>
      <c r="G117" s="38">
        <v>2.5</v>
      </c>
      <c r="H117" s="38">
        <v>1</v>
      </c>
      <c r="I117" s="38" t="s">
        <v>98</v>
      </c>
      <c r="J117" s="38">
        <v>3</v>
      </c>
      <c r="K117" s="38">
        <f t="shared" si="12"/>
        <v>7500</v>
      </c>
      <c r="L117" s="38">
        <f t="shared" si="13"/>
        <v>7.5</v>
      </c>
      <c r="M117" s="38">
        <f t="shared" si="14"/>
        <v>3000</v>
      </c>
      <c r="N117" s="38">
        <f t="shared" si="15"/>
        <v>9000</v>
      </c>
      <c r="O117" s="38"/>
    </row>
    <row r="118" spans="1:15">
      <c r="A118" s="38" t="s">
        <v>19</v>
      </c>
      <c r="B118" s="38" t="s">
        <v>214</v>
      </c>
      <c r="C118" s="38" t="s">
        <v>215</v>
      </c>
      <c r="D118" s="38" t="s">
        <v>212</v>
      </c>
      <c r="E118" s="38">
        <v>4</v>
      </c>
      <c r="F118" s="38">
        <v>300</v>
      </c>
      <c r="G118" s="38">
        <v>24</v>
      </c>
      <c r="H118" s="38">
        <v>0.5</v>
      </c>
      <c r="I118" s="38" t="s">
        <v>98</v>
      </c>
      <c r="J118" s="38">
        <v>2.5</v>
      </c>
      <c r="K118" s="38">
        <f t="shared" si="12"/>
        <v>14400</v>
      </c>
      <c r="L118" s="38">
        <f t="shared" si="13"/>
        <v>14.4</v>
      </c>
      <c r="M118" s="38">
        <f t="shared" si="14"/>
        <v>1200</v>
      </c>
      <c r="N118" s="38">
        <f t="shared" si="15"/>
        <v>3000</v>
      </c>
      <c r="O118" s="38"/>
    </row>
    <row r="119" spans="1:15">
      <c r="A119" s="38" t="s">
        <v>19</v>
      </c>
      <c r="B119" s="38" t="s">
        <v>214</v>
      </c>
      <c r="C119" s="38" t="s">
        <v>215</v>
      </c>
      <c r="D119" s="38" t="s">
        <v>219</v>
      </c>
      <c r="E119" s="38">
        <v>1</v>
      </c>
      <c r="F119" s="38">
        <v>2500</v>
      </c>
      <c r="G119" s="38">
        <v>2</v>
      </c>
      <c r="H119" s="38">
        <v>1</v>
      </c>
      <c r="I119" s="38" t="s">
        <v>97</v>
      </c>
      <c r="J119" s="38">
        <v>1.5</v>
      </c>
      <c r="K119" s="38">
        <f t="shared" si="12"/>
        <v>5000</v>
      </c>
      <c r="L119" s="38">
        <f t="shared" si="13"/>
        <v>5</v>
      </c>
      <c r="M119" s="38">
        <f t="shared" si="14"/>
        <v>2500</v>
      </c>
      <c r="N119" s="38">
        <f t="shared" si="15"/>
        <v>3750</v>
      </c>
      <c r="O119" s="38"/>
    </row>
    <row r="120" spans="1:15">
      <c r="A120" s="38" t="s">
        <v>19</v>
      </c>
      <c r="B120" s="38" t="s">
        <v>214</v>
      </c>
      <c r="C120" s="38" t="s">
        <v>215</v>
      </c>
      <c r="D120" s="38" t="s">
        <v>220</v>
      </c>
      <c r="E120" s="38">
        <v>1</v>
      </c>
      <c r="F120" s="38">
        <v>2500</v>
      </c>
      <c r="G120" s="38">
        <v>1.5</v>
      </c>
      <c r="H120" s="38">
        <v>1</v>
      </c>
      <c r="I120" s="38" t="s">
        <v>97</v>
      </c>
      <c r="J120" s="38">
        <v>2</v>
      </c>
      <c r="K120" s="38">
        <f t="shared" si="12"/>
        <v>3750</v>
      </c>
      <c r="L120" s="38">
        <f t="shared" si="13"/>
        <v>3.75</v>
      </c>
      <c r="M120" s="38">
        <f t="shared" si="14"/>
        <v>2500</v>
      </c>
      <c r="N120" s="38">
        <f t="shared" si="15"/>
        <v>5000</v>
      </c>
      <c r="O120" s="38"/>
    </row>
    <row r="121" spans="1:15">
      <c r="A121" s="38" t="s">
        <v>19</v>
      </c>
      <c r="B121" s="38" t="s">
        <v>221</v>
      </c>
      <c r="C121" s="38" t="s">
        <v>222</v>
      </c>
      <c r="D121" s="38" t="s">
        <v>223</v>
      </c>
      <c r="E121" s="38">
        <v>20</v>
      </c>
      <c r="F121" s="38">
        <v>15</v>
      </c>
      <c r="G121" s="38">
        <v>8</v>
      </c>
      <c r="H121" s="38">
        <v>1</v>
      </c>
      <c r="I121" s="38" t="s">
        <v>98</v>
      </c>
      <c r="J121" s="38">
        <v>1</v>
      </c>
      <c r="K121" s="38">
        <f t="shared" si="12"/>
        <v>2400</v>
      </c>
      <c r="L121" s="38">
        <f t="shared" si="13"/>
        <v>2.4</v>
      </c>
      <c r="M121" s="38">
        <f t="shared" si="14"/>
        <v>300</v>
      </c>
      <c r="N121" s="38">
        <f t="shared" si="15"/>
        <v>300</v>
      </c>
      <c r="O121" s="38"/>
    </row>
    <row r="122" spans="1:15">
      <c r="A122" s="38" t="s">
        <v>19</v>
      </c>
      <c r="B122" s="38" t="s">
        <v>221</v>
      </c>
      <c r="C122" s="38" t="s">
        <v>222</v>
      </c>
      <c r="D122" s="38" t="s">
        <v>137</v>
      </c>
      <c r="E122" s="38">
        <v>1</v>
      </c>
      <c r="F122" s="38">
        <v>800</v>
      </c>
      <c r="G122" s="38">
        <v>6</v>
      </c>
      <c r="H122" s="38">
        <v>1</v>
      </c>
      <c r="I122" s="38" t="s">
        <v>157</v>
      </c>
      <c r="J122" s="38">
        <v>1.5</v>
      </c>
      <c r="K122" s="38">
        <f t="shared" si="12"/>
        <v>4800</v>
      </c>
      <c r="L122" s="38">
        <f t="shared" si="13"/>
        <v>4.8</v>
      </c>
      <c r="M122" s="38">
        <f t="shared" si="14"/>
        <v>800</v>
      </c>
      <c r="N122" s="38">
        <f t="shared" si="15"/>
        <v>1200</v>
      </c>
      <c r="O122" s="38"/>
    </row>
    <row r="123" spans="1:15">
      <c r="A123" s="38" t="s">
        <v>19</v>
      </c>
      <c r="B123" s="38" t="s">
        <v>221</v>
      </c>
      <c r="C123" s="38" t="s">
        <v>222</v>
      </c>
      <c r="D123" s="38" t="s">
        <v>224</v>
      </c>
      <c r="E123" s="38">
        <v>4</v>
      </c>
      <c r="F123" s="38">
        <v>120</v>
      </c>
      <c r="G123" s="38">
        <v>6</v>
      </c>
      <c r="H123" s="38">
        <v>1</v>
      </c>
      <c r="I123" s="38" t="s">
        <v>157</v>
      </c>
      <c r="J123" s="38">
        <v>1.2</v>
      </c>
      <c r="K123" s="38">
        <f t="shared" si="12"/>
        <v>2880</v>
      </c>
      <c r="L123" s="38">
        <f t="shared" si="13"/>
        <v>2.88</v>
      </c>
      <c r="M123" s="38">
        <f t="shared" si="14"/>
        <v>480</v>
      </c>
      <c r="N123" s="38">
        <f t="shared" si="15"/>
        <v>576</v>
      </c>
      <c r="O123" s="38"/>
    </row>
    <row r="124" spans="1:15">
      <c r="A124" s="38" t="s">
        <v>19</v>
      </c>
      <c r="B124" s="38" t="s">
        <v>221</v>
      </c>
      <c r="C124" s="38" t="s">
        <v>222</v>
      </c>
      <c r="D124" s="38" t="s">
        <v>225</v>
      </c>
      <c r="E124" s="38">
        <v>4</v>
      </c>
      <c r="F124" s="38">
        <v>250</v>
      </c>
      <c r="G124" s="38">
        <v>24</v>
      </c>
      <c r="H124" s="38">
        <v>0.5</v>
      </c>
      <c r="I124" s="38" t="s">
        <v>98</v>
      </c>
      <c r="J124" s="38">
        <v>2.5</v>
      </c>
      <c r="K124" s="38">
        <f t="shared" si="12"/>
        <v>12000</v>
      </c>
      <c r="L124" s="38">
        <f t="shared" si="13"/>
        <v>12</v>
      </c>
      <c r="M124" s="38">
        <f t="shared" si="14"/>
        <v>1000</v>
      </c>
      <c r="N124" s="38">
        <f t="shared" si="15"/>
        <v>2500</v>
      </c>
      <c r="O124" s="38"/>
    </row>
    <row r="125" spans="1:15">
      <c r="A125" s="38" t="s">
        <v>19</v>
      </c>
      <c r="B125" s="38" t="s">
        <v>221</v>
      </c>
      <c r="C125" s="38" t="s">
        <v>222</v>
      </c>
      <c r="D125" s="38" t="s">
        <v>226</v>
      </c>
      <c r="E125" s="38">
        <v>1</v>
      </c>
      <c r="F125" s="38">
        <v>700</v>
      </c>
      <c r="G125" s="38">
        <v>8</v>
      </c>
      <c r="H125" s="38">
        <v>0.6</v>
      </c>
      <c r="I125" s="38" t="s">
        <v>157</v>
      </c>
      <c r="J125" s="38">
        <v>2.5</v>
      </c>
      <c r="K125" s="38">
        <f t="shared" si="12"/>
        <v>3360</v>
      </c>
      <c r="L125" s="38">
        <f t="shared" si="13"/>
        <v>3.36</v>
      </c>
      <c r="M125" s="38">
        <f t="shared" si="14"/>
        <v>700</v>
      </c>
      <c r="N125" s="38">
        <f t="shared" si="15"/>
        <v>1750</v>
      </c>
      <c r="O125" s="38"/>
    </row>
    <row r="126" spans="1:15">
      <c r="A126" s="38" t="s">
        <v>19</v>
      </c>
      <c r="B126" s="38" t="s">
        <v>221</v>
      </c>
      <c r="C126" s="38" t="s">
        <v>222</v>
      </c>
      <c r="D126" s="38" t="s">
        <v>156</v>
      </c>
      <c r="E126" s="38">
        <v>4</v>
      </c>
      <c r="F126" s="38">
        <v>60</v>
      </c>
      <c r="G126" s="38">
        <v>8</v>
      </c>
      <c r="H126" s="38">
        <v>1</v>
      </c>
      <c r="I126" s="38" t="s">
        <v>157</v>
      </c>
      <c r="J126" s="38">
        <v>1.2</v>
      </c>
      <c r="K126" s="38">
        <f t="shared" si="12"/>
        <v>1920</v>
      </c>
      <c r="L126" s="38">
        <f t="shared" si="13"/>
        <v>1.92</v>
      </c>
      <c r="M126" s="38">
        <f t="shared" si="14"/>
        <v>240</v>
      </c>
      <c r="N126" s="38">
        <f t="shared" si="15"/>
        <v>288</v>
      </c>
      <c r="O126" s="38"/>
    </row>
    <row r="127" spans="1:15">
      <c r="A127" s="38" t="s">
        <v>19</v>
      </c>
      <c r="B127" s="38" t="s">
        <v>221</v>
      </c>
      <c r="C127" s="38" t="s">
        <v>222</v>
      </c>
      <c r="D127" s="38" t="s">
        <v>227</v>
      </c>
      <c r="E127" s="38">
        <v>2</v>
      </c>
      <c r="F127" s="38">
        <v>1800</v>
      </c>
      <c r="G127" s="38">
        <v>5</v>
      </c>
      <c r="H127" s="38">
        <v>0.6</v>
      </c>
      <c r="I127" s="38" t="s">
        <v>157</v>
      </c>
      <c r="J127" s="38">
        <v>3.5</v>
      </c>
      <c r="K127" s="38">
        <f t="shared" si="12"/>
        <v>10800</v>
      </c>
      <c r="L127" s="38">
        <f t="shared" si="13"/>
        <v>10.8</v>
      </c>
      <c r="M127" s="38">
        <f t="shared" si="14"/>
        <v>3600</v>
      </c>
      <c r="N127" s="38">
        <f t="shared" si="15"/>
        <v>12600</v>
      </c>
      <c r="O127" s="38"/>
    </row>
    <row r="128" spans="1:15">
      <c r="A128" s="38" t="s">
        <v>19</v>
      </c>
      <c r="B128" s="38" t="s">
        <v>221</v>
      </c>
      <c r="C128" s="38" t="s">
        <v>222</v>
      </c>
      <c r="D128" s="38" t="s">
        <v>228</v>
      </c>
      <c r="E128" s="38">
        <v>1</v>
      </c>
      <c r="F128" s="38">
        <v>80</v>
      </c>
      <c r="G128" s="38">
        <v>12</v>
      </c>
      <c r="H128" s="38">
        <v>1</v>
      </c>
      <c r="I128" s="38" t="s">
        <v>98</v>
      </c>
      <c r="J128" s="38">
        <v>1</v>
      </c>
      <c r="K128" s="38">
        <f t="shared" si="12"/>
        <v>960</v>
      </c>
      <c r="L128" s="38">
        <f t="shared" si="13"/>
        <v>0.96</v>
      </c>
      <c r="M128" s="38">
        <f t="shared" si="14"/>
        <v>80</v>
      </c>
      <c r="N128" s="38">
        <f t="shared" si="15"/>
        <v>80</v>
      </c>
      <c r="O128" s="38"/>
    </row>
    <row r="129" spans="1:15">
      <c r="A129" s="38" t="s">
        <v>78</v>
      </c>
      <c r="B129" s="38" t="s">
        <v>229</v>
      </c>
      <c r="C129" s="38" t="s">
        <v>230</v>
      </c>
      <c r="D129" s="38" t="s">
        <v>231</v>
      </c>
      <c r="E129" s="38">
        <v>8</v>
      </c>
      <c r="F129" s="38">
        <v>10</v>
      </c>
      <c r="G129" s="38">
        <v>10</v>
      </c>
      <c r="H129" s="38">
        <v>1</v>
      </c>
      <c r="I129" s="38" t="s">
        <v>98</v>
      </c>
      <c r="J129" s="38">
        <v>1</v>
      </c>
      <c r="K129" s="38">
        <f t="shared" si="12"/>
        <v>800</v>
      </c>
      <c r="L129" s="38">
        <f t="shared" si="13"/>
        <v>0.8</v>
      </c>
      <c r="M129" s="38">
        <f t="shared" si="14"/>
        <v>80</v>
      </c>
      <c r="N129" s="38">
        <f t="shared" si="15"/>
        <v>80</v>
      </c>
      <c r="O129" s="38"/>
    </row>
    <row r="130" spans="1:15">
      <c r="A130" s="38" t="s">
        <v>78</v>
      </c>
      <c r="B130" s="38" t="s">
        <v>229</v>
      </c>
      <c r="C130" s="38" t="s">
        <v>230</v>
      </c>
      <c r="D130" s="38" t="s">
        <v>232</v>
      </c>
      <c r="E130" s="38">
        <v>1</v>
      </c>
      <c r="F130" s="38">
        <v>60</v>
      </c>
      <c r="G130" s="38">
        <v>8</v>
      </c>
      <c r="H130" s="38">
        <v>1</v>
      </c>
      <c r="I130" s="38" t="s">
        <v>157</v>
      </c>
      <c r="J130" s="38">
        <v>1.2</v>
      </c>
      <c r="K130" s="38">
        <f t="shared" si="12"/>
        <v>480</v>
      </c>
      <c r="L130" s="38">
        <f t="shared" si="13"/>
        <v>0.48</v>
      </c>
      <c r="M130" s="38">
        <f t="shared" si="14"/>
        <v>60</v>
      </c>
      <c r="N130" s="38">
        <f t="shared" si="15"/>
        <v>72</v>
      </c>
      <c r="O130" s="38"/>
    </row>
    <row r="131" spans="1:15">
      <c r="A131" s="38" t="s">
        <v>78</v>
      </c>
      <c r="B131" s="38" t="s">
        <v>229</v>
      </c>
      <c r="C131" s="38" t="s">
        <v>230</v>
      </c>
      <c r="D131" s="38" t="s">
        <v>233</v>
      </c>
      <c r="E131" s="38">
        <v>1</v>
      </c>
      <c r="F131" s="38">
        <v>30</v>
      </c>
      <c r="G131" s="38">
        <v>10</v>
      </c>
      <c r="H131" s="38">
        <v>1</v>
      </c>
      <c r="I131" s="38" t="s">
        <v>98</v>
      </c>
      <c r="J131" s="38">
        <v>1</v>
      </c>
      <c r="K131" s="38">
        <f t="shared" si="12"/>
        <v>300</v>
      </c>
      <c r="L131" s="38">
        <f t="shared" si="13"/>
        <v>0.3</v>
      </c>
      <c r="M131" s="38">
        <f t="shared" si="14"/>
        <v>30</v>
      </c>
      <c r="N131" s="38">
        <f t="shared" si="15"/>
        <v>30</v>
      </c>
      <c r="O131" s="38"/>
    </row>
    <row r="132" spans="1:15">
      <c r="A132" s="38" t="s">
        <v>78</v>
      </c>
      <c r="B132" s="38" t="s">
        <v>229</v>
      </c>
      <c r="C132" s="38" t="s">
        <v>230</v>
      </c>
      <c r="D132" s="38" t="s">
        <v>234</v>
      </c>
      <c r="E132" s="38">
        <v>1</v>
      </c>
      <c r="F132" s="38">
        <v>50</v>
      </c>
      <c r="G132" s="38">
        <v>6</v>
      </c>
      <c r="H132" s="38">
        <v>1</v>
      </c>
      <c r="I132" s="38" t="s">
        <v>157</v>
      </c>
      <c r="J132" s="38">
        <v>1</v>
      </c>
      <c r="K132" s="38">
        <f t="shared" si="12"/>
        <v>300</v>
      </c>
      <c r="L132" s="38">
        <f t="shared" si="13"/>
        <v>0.3</v>
      </c>
      <c r="M132" s="38">
        <f t="shared" si="14"/>
        <v>50</v>
      </c>
      <c r="N132" s="38">
        <f t="shared" si="15"/>
        <v>50</v>
      </c>
      <c r="O132" s="38"/>
    </row>
    <row r="133" spans="1:15">
      <c r="A133" s="38" t="s">
        <v>78</v>
      </c>
      <c r="B133" s="38" t="s">
        <v>229</v>
      </c>
      <c r="C133" s="38" t="s">
        <v>230</v>
      </c>
      <c r="D133" s="38" t="s">
        <v>235</v>
      </c>
      <c r="E133" s="38">
        <v>1</v>
      </c>
      <c r="F133" s="38">
        <v>100</v>
      </c>
      <c r="G133" s="38">
        <v>6</v>
      </c>
      <c r="H133" s="38">
        <v>1</v>
      </c>
      <c r="I133" s="38" t="s">
        <v>157</v>
      </c>
      <c r="J133" s="38">
        <v>1</v>
      </c>
      <c r="K133" s="38">
        <f t="shared" si="12"/>
        <v>600</v>
      </c>
      <c r="L133" s="38">
        <f t="shared" si="13"/>
        <v>0.6</v>
      </c>
      <c r="M133" s="38">
        <f t="shared" si="14"/>
        <v>100</v>
      </c>
      <c r="N133" s="38">
        <f t="shared" si="15"/>
        <v>100</v>
      </c>
      <c r="O133" s="38"/>
    </row>
    <row r="134" spans="1:15">
      <c r="A134" s="38" t="s">
        <v>78</v>
      </c>
      <c r="B134" s="38" t="s">
        <v>236</v>
      </c>
      <c r="C134" s="38" t="s">
        <v>237</v>
      </c>
      <c r="D134" s="38" t="s">
        <v>231</v>
      </c>
      <c r="E134" s="38">
        <v>16</v>
      </c>
      <c r="F134" s="38">
        <v>10</v>
      </c>
      <c r="G134" s="38">
        <v>12</v>
      </c>
      <c r="H134" s="38">
        <v>1</v>
      </c>
      <c r="I134" s="38" t="s">
        <v>98</v>
      </c>
      <c r="J134" s="38">
        <v>1</v>
      </c>
      <c r="K134" s="38">
        <f t="shared" si="12"/>
        <v>1920</v>
      </c>
      <c r="L134" s="38">
        <f t="shared" si="13"/>
        <v>1.92</v>
      </c>
      <c r="M134" s="38">
        <f t="shared" si="14"/>
        <v>160</v>
      </c>
      <c r="N134" s="38">
        <f t="shared" si="15"/>
        <v>160</v>
      </c>
      <c r="O134" s="38"/>
    </row>
    <row r="135" spans="1:15">
      <c r="A135" s="38" t="s">
        <v>78</v>
      </c>
      <c r="B135" s="38" t="s">
        <v>236</v>
      </c>
      <c r="C135" s="38" t="s">
        <v>237</v>
      </c>
      <c r="D135" s="38" t="s">
        <v>156</v>
      </c>
      <c r="E135" s="38">
        <v>2</v>
      </c>
      <c r="F135" s="38">
        <v>60</v>
      </c>
      <c r="G135" s="38">
        <v>10</v>
      </c>
      <c r="H135" s="38">
        <v>1</v>
      </c>
      <c r="I135" s="38" t="s">
        <v>157</v>
      </c>
      <c r="J135" s="38">
        <v>1.2</v>
      </c>
      <c r="K135" s="38">
        <f t="shared" si="12"/>
        <v>1200</v>
      </c>
      <c r="L135" s="38">
        <f t="shared" si="13"/>
        <v>1.2</v>
      </c>
      <c r="M135" s="38">
        <f t="shared" si="14"/>
        <v>120</v>
      </c>
      <c r="N135" s="38">
        <f t="shared" si="15"/>
        <v>144</v>
      </c>
      <c r="O135" s="38"/>
    </row>
    <row r="136" spans="1:15">
      <c r="A136" s="38" t="s">
        <v>78</v>
      </c>
      <c r="B136" s="38" t="s">
        <v>236</v>
      </c>
      <c r="C136" s="38" t="s">
        <v>237</v>
      </c>
      <c r="D136" s="38" t="s">
        <v>181</v>
      </c>
      <c r="E136" s="38">
        <v>1</v>
      </c>
      <c r="F136" s="38">
        <v>1200</v>
      </c>
      <c r="G136" s="38">
        <v>8</v>
      </c>
      <c r="H136" s="38">
        <v>0.6</v>
      </c>
      <c r="I136" s="38" t="s">
        <v>157</v>
      </c>
      <c r="J136" s="38">
        <v>3.5</v>
      </c>
      <c r="K136" s="38">
        <f t="shared" si="12"/>
        <v>5760</v>
      </c>
      <c r="L136" s="38">
        <f t="shared" si="13"/>
        <v>5.76</v>
      </c>
      <c r="M136" s="38">
        <f t="shared" si="14"/>
        <v>1200</v>
      </c>
      <c r="N136" s="38">
        <f t="shared" si="15"/>
        <v>4200</v>
      </c>
      <c r="O136" s="38"/>
    </row>
    <row r="137" spans="1:15">
      <c r="A137" s="38" t="s">
        <v>78</v>
      </c>
      <c r="B137" s="38" t="s">
        <v>236</v>
      </c>
      <c r="C137" s="38" t="s">
        <v>237</v>
      </c>
      <c r="D137" s="38" t="s">
        <v>238</v>
      </c>
      <c r="E137" s="38">
        <v>2</v>
      </c>
      <c r="F137" s="38">
        <v>120</v>
      </c>
      <c r="G137" s="38">
        <v>12</v>
      </c>
      <c r="H137" s="38">
        <v>1</v>
      </c>
      <c r="I137" s="38" t="s">
        <v>98</v>
      </c>
      <c r="J137" s="38">
        <v>1.2</v>
      </c>
      <c r="K137" s="38">
        <f t="shared" si="12"/>
        <v>2880</v>
      </c>
      <c r="L137" s="38">
        <f t="shared" si="13"/>
        <v>2.88</v>
      </c>
      <c r="M137" s="38">
        <f t="shared" si="14"/>
        <v>240</v>
      </c>
      <c r="N137" s="38">
        <f t="shared" si="15"/>
        <v>288</v>
      </c>
      <c r="O137" s="38"/>
    </row>
    <row r="138" spans="1:15">
      <c r="A138" s="38" t="s">
        <v>78</v>
      </c>
      <c r="B138" s="38" t="s">
        <v>236</v>
      </c>
      <c r="C138" s="38" t="s">
        <v>237</v>
      </c>
      <c r="D138" s="38" t="s">
        <v>239</v>
      </c>
      <c r="E138" s="38">
        <v>1</v>
      </c>
      <c r="F138" s="38">
        <v>180</v>
      </c>
      <c r="G138" s="38">
        <v>24</v>
      </c>
      <c r="H138" s="38">
        <v>0.45</v>
      </c>
      <c r="I138" s="38" t="s">
        <v>98</v>
      </c>
      <c r="J138" s="38">
        <v>2</v>
      </c>
      <c r="K138" s="38">
        <f t="shared" si="12"/>
        <v>1944</v>
      </c>
      <c r="L138" s="38">
        <f t="shared" si="13"/>
        <v>1.944</v>
      </c>
      <c r="M138" s="38">
        <f t="shared" si="14"/>
        <v>180</v>
      </c>
      <c r="N138" s="38">
        <f t="shared" si="15"/>
        <v>360</v>
      </c>
      <c r="O138" s="38"/>
    </row>
    <row r="139" spans="1:15">
      <c r="A139" s="38" t="s">
        <v>78</v>
      </c>
      <c r="B139" s="38" t="s">
        <v>236</v>
      </c>
      <c r="C139" s="38" t="s">
        <v>237</v>
      </c>
      <c r="D139" s="38" t="s">
        <v>205</v>
      </c>
      <c r="E139" s="38">
        <v>1</v>
      </c>
      <c r="F139" s="38">
        <v>80</v>
      </c>
      <c r="G139" s="38">
        <v>24</v>
      </c>
      <c r="H139" s="38">
        <v>1</v>
      </c>
      <c r="I139" s="38" t="s">
        <v>98</v>
      </c>
      <c r="J139" s="38">
        <v>1</v>
      </c>
      <c r="K139" s="38">
        <f t="shared" si="12"/>
        <v>1920</v>
      </c>
      <c r="L139" s="38">
        <f t="shared" si="13"/>
        <v>1.92</v>
      </c>
      <c r="M139" s="38">
        <f t="shared" si="14"/>
        <v>80</v>
      </c>
      <c r="N139" s="38">
        <f t="shared" si="15"/>
        <v>80</v>
      </c>
      <c r="O139" s="38"/>
    </row>
    <row r="140" spans="1:15">
      <c r="A140" s="38" t="s">
        <v>78</v>
      </c>
      <c r="B140" s="38" t="s">
        <v>236</v>
      </c>
      <c r="C140" s="38" t="s">
        <v>237</v>
      </c>
      <c r="D140" s="38" t="s">
        <v>74</v>
      </c>
      <c r="E140" s="38">
        <v>1</v>
      </c>
      <c r="F140" s="38">
        <v>15</v>
      </c>
      <c r="G140" s="38">
        <v>24</v>
      </c>
      <c r="H140" s="38">
        <v>1</v>
      </c>
      <c r="I140" s="38" t="s">
        <v>98</v>
      </c>
      <c r="J140" s="38">
        <v>1</v>
      </c>
      <c r="K140" s="38">
        <f t="shared" si="12"/>
        <v>360</v>
      </c>
      <c r="L140" s="38">
        <f t="shared" si="13"/>
        <v>0.36</v>
      </c>
      <c r="M140" s="38">
        <f t="shared" si="14"/>
        <v>15</v>
      </c>
      <c r="N140" s="38">
        <f t="shared" si="15"/>
        <v>15</v>
      </c>
      <c r="O140" s="38"/>
    </row>
    <row r="141" spans="1:15">
      <c r="A141" s="38" t="s">
        <v>78</v>
      </c>
      <c r="B141" s="38" t="s">
        <v>240</v>
      </c>
      <c r="C141" s="38" t="s">
        <v>237</v>
      </c>
      <c r="D141" s="38" t="s">
        <v>231</v>
      </c>
      <c r="E141" s="38">
        <v>40</v>
      </c>
      <c r="F141" s="38">
        <v>15</v>
      </c>
      <c r="G141" s="38">
        <v>12</v>
      </c>
      <c r="H141" s="38">
        <v>1</v>
      </c>
      <c r="I141" s="38" t="s">
        <v>98</v>
      </c>
      <c r="J141" s="38">
        <v>1</v>
      </c>
      <c r="K141" s="38">
        <f t="shared" si="12"/>
        <v>7200</v>
      </c>
      <c r="L141" s="38">
        <f t="shared" si="13"/>
        <v>7.2</v>
      </c>
      <c r="M141" s="38">
        <f t="shared" si="14"/>
        <v>600</v>
      </c>
      <c r="N141" s="38">
        <f t="shared" si="15"/>
        <v>600</v>
      </c>
      <c r="O141" s="38"/>
    </row>
    <row r="142" spans="1:15">
      <c r="A142" s="38" t="s">
        <v>78</v>
      </c>
      <c r="B142" s="38" t="s">
        <v>240</v>
      </c>
      <c r="C142" s="38" t="s">
        <v>237</v>
      </c>
      <c r="D142" s="38" t="s">
        <v>241</v>
      </c>
      <c r="E142" s="38">
        <v>4</v>
      </c>
      <c r="F142" s="38">
        <v>120</v>
      </c>
      <c r="G142" s="38">
        <v>12</v>
      </c>
      <c r="H142" s="38">
        <v>1</v>
      </c>
      <c r="I142" s="38" t="s">
        <v>98</v>
      </c>
      <c r="J142" s="38">
        <v>1.2</v>
      </c>
      <c r="K142" s="38">
        <f t="shared" si="12"/>
        <v>5760</v>
      </c>
      <c r="L142" s="38">
        <f t="shared" si="13"/>
        <v>5.76</v>
      </c>
      <c r="M142" s="38">
        <f t="shared" si="14"/>
        <v>480</v>
      </c>
      <c r="N142" s="38">
        <f t="shared" si="15"/>
        <v>576</v>
      </c>
      <c r="O142" s="38"/>
    </row>
    <row r="143" spans="1:15">
      <c r="A143" s="38" t="s">
        <v>78</v>
      </c>
      <c r="B143" s="38" t="s">
        <v>240</v>
      </c>
      <c r="C143" s="38" t="s">
        <v>237</v>
      </c>
      <c r="D143" s="38" t="s">
        <v>242</v>
      </c>
      <c r="E143" s="38">
        <v>4</v>
      </c>
      <c r="F143" s="38">
        <v>350</v>
      </c>
      <c r="G143" s="38">
        <v>24</v>
      </c>
      <c r="H143" s="38">
        <v>0.55000000000000004</v>
      </c>
      <c r="I143" s="38" t="s">
        <v>98</v>
      </c>
      <c r="J143" s="38">
        <v>2.5</v>
      </c>
      <c r="K143" s="38">
        <f t="shared" si="12"/>
        <v>18480</v>
      </c>
      <c r="L143" s="38">
        <f t="shared" si="13"/>
        <v>18.48</v>
      </c>
      <c r="M143" s="38">
        <f t="shared" si="14"/>
        <v>1400</v>
      </c>
      <c r="N143" s="38">
        <f t="shared" si="15"/>
        <v>3500</v>
      </c>
      <c r="O143" s="38"/>
    </row>
    <row r="144" spans="1:15">
      <c r="A144" s="38" t="s">
        <v>78</v>
      </c>
      <c r="B144" s="38" t="s">
        <v>240</v>
      </c>
      <c r="C144" s="38" t="s">
        <v>237</v>
      </c>
      <c r="D144" s="38" t="s">
        <v>243</v>
      </c>
      <c r="E144" s="38">
        <v>3</v>
      </c>
      <c r="F144" s="38">
        <v>300</v>
      </c>
      <c r="G144" s="38">
        <v>24</v>
      </c>
      <c r="H144" s="38">
        <v>0.5</v>
      </c>
      <c r="I144" s="38" t="s">
        <v>98</v>
      </c>
      <c r="J144" s="38">
        <v>2.5</v>
      </c>
      <c r="K144" s="38">
        <f t="shared" si="12"/>
        <v>10800</v>
      </c>
      <c r="L144" s="38">
        <f t="shared" si="13"/>
        <v>10.8</v>
      </c>
      <c r="M144" s="38">
        <f t="shared" si="14"/>
        <v>900</v>
      </c>
      <c r="N144" s="38">
        <f t="shared" si="15"/>
        <v>2250</v>
      </c>
      <c r="O144" s="38"/>
    </row>
    <row r="145" spans="1:15">
      <c r="A145" s="38" t="s">
        <v>78</v>
      </c>
      <c r="B145" s="38" t="s">
        <v>240</v>
      </c>
      <c r="C145" s="38" t="s">
        <v>237</v>
      </c>
      <c r="D145" s="38" t="s">
        <v>205</v>
      </c>
      <c r="E145" s="38">
        <v>1</v>
      </c>
      <c r="F145" s="38">
        <v>150</v>
      </c>
      <c r="G145" s="38">
        <v>24</v>
      </c>
      <c r="H145" s="38">
        <v>1</v>
      </c>
      <c r="I145" s="38" t="s">
        <v>98</v>
      </c>
      <c r="J145" s="38">
        <v>1</v>
      </c>
      <c r="K145" s="38">
        <f t="shared" si="12"/>
        <v>3600</v>
      </c>
      <c r="L145" s="38">
        <f t="shared" si="13"/>
        <v>3.6</v>
      </c>
      <c r="M145" s="38">
        <f t="shared" si="14"/>
        <v>150</v>
      </c>
      <c r="N145" s="38">
        <f t="shared" si="15"/>
        <v>150</v>
      </c>
      <c r="O145" s="38"/>
    </row>
    <row r="146" spans="1:15">
      <c r="A146" s="38" t="s">
        <v>78</v>
      </c>
      <c r="B146" s="38" t="s">
        <v>240</v>
      </c>
      <c r="C146" s="38" t="s">
        <v>237</v>
      </c>
      <c r="D146" s="38" t="s">
        <v>74</v>
      </c>
      <c r="E146" s="38">
        <v>1</v>
      </c>
      <c r="F146" s="38">
        <v>30</v>
      </c>
      <c r="G146" s="38">
        <v>24</v>
      </c>
      <c r="H146" s="38">
        <v>1</v>
      </c>
      <c r="I146" s="38" t="s">
        <v>98</v>
      </c>
      <c r="J146" s="38">
        <v>1</v>
      </c>
      <c r="K146" s="38">
        <f t="shared" si="12"/>
        <v>720</v>
      </c>
      <c r="L146" s="38">
        <f t="shared" si="13"/>
        <v>0.72</v>
      </c>
      <c r="M146" s="38">
        <f t="shared" si="14"/>
        <v>30</v>
      </c>
      <c r="N146" s="38">
        <f t="shared" si="15"/>
        <v>30</v>
      </c>
      <c r="O146" s="38"/>
    </row>
    <row r="147" spans="1:15">
      <c r="A147" s="38" t="s">
        <v>78</v>
      </c>
      <c r="B147" s="38" t="s">
        <v>240</v>
      </c>
      <c r="C147" s="38" t="s">
        <v>237</v>
      </c>
      <c r="D147" s="38" t="s">
        <v>156</v>
      </c>
      <c r="E147" s="38">
        <v>4</v>
      </c>
      <c r="F147" s="38">
        <v>60</v>
      </c>
      <c r="G147" s="38">
        <v>10</v>
      </c>
      <c r="H147" s="38">
        <v>1</v>
      </c>
      <c r="I147" s="38" t="s">
        <v>157</v>
      </c>
      <c r="J147" s="38">
        <v>1.2</v>
      </c>
      <c r="K147" s="38">
        <f t="shared" si="12"/>
        <v>2400</v>
      </c>
      <c r="L147" s="38">
        <f t="shared" si="13"/>
        <v>2.4</v>
      </c>
      <c r="M147" s="38">
        <f t="shared" si="14"/>
        <v>240</v>
      </c>
      <c r="N147" s="38">
        <f t="shared" si="15"/>
        <v>288</v>
      </c>
      <c r="O147" s="38"/>
    </row>
    <row r="148" spans="1:15">
      <c r="A148" s="38" t="s">
        <v>78</v>
      </c>
      <c r="B148" s="38" t="s">
        <v>240</v>
      </c>
      <c r="C148" s="38" t="s">
        <v>237</v>
      </c>
      <c r="D148" s="38" t="s">
        <v>227</v>
      </c>
      <c r="E148" s="38">
        <v>2</v>
      </c>
      <c r="F148" s="38">
        <v>1800</v>
      </c>
      <c r="G148" s="38">
        <v>8</v>
      </c>
      <c r="H148" s="38">
        <v>0.6</v>
      </c>
      <c r="I148" s="38" t="s">
        <v>157</v>
      </c>
      <c r="J148" s="38">
        <v>3.5</v>
      </c>
      <c r="K148" s="38">
        <f t="shared" si="12"/>
        <v>17280</v>
      </c>
      <c r="L148" s="38">
        <f t="shared" si="13"/>
        <v>17.28</v>
      </c>
      <c r="M148" s="38">
        <f t="shared" si="14"/>
        <v>3600</v>
      </c>
      <c r="N148" s="38">
        <f t="shared" si="15"/>
        <v>12600</v>
      </c>
      <c r="O148" s="38"/>
    </row>
    <row r="149" spans="1:15">
      <c r="A149" s="38" t="s">
        <v>78</v>
      </c>
      <c r="B149" s="38" t="s">
        <v>244</v>
      </c>
      <c r="C149" s="38" t="s">
        <v>237</v>
      </c>
      <c r="D149" s="38" t="s">
        <v>231</v>
      </c>
      <c r="E149" s="38">
        <v>12</v>
      </c>
      <c r="F149" s="38">
        <v>10</v>
      </c>
      <c r="G149" s="38">
        <v>10</v>
      </c>
      <c r="H149" s="38">
        <v>1</v>
      </c>
      <c r="I149" s="38" t="s">
        <v>98</v>
      </c>
      <c r="J149" s="38">
        <v>1</v>
      </c>
      <c r="K149" s="38">
        <f t="shared" si="12"/>
        <v>1200</v>
      </c>
      <c r="L149" s="38">
        <f t="shared" si="13"/>
        <v>1.2</v>
      </c>
      <c r="M149" s="38">
        <f t="shared" si="14"/>
        <v>120</v>
      </c>
      <c r="N149" s="38">
        <f t="shared" si="15"/>
        <v>120</v>
      </c>
      <c r="O149" s="38"/>
    </row>
    <row r="150" spans="1:15">
      <c r="A150" s="38" t="s">
        <v>78</v>
      </c>
      <c r="B150" s="38" t="s">
        <v>244</v>
      </c>
      <c r="C150" s="38" t="s">
        <v>237</v>
      </c>
      <c r="D150" s="38" t="s">
        <v>156</v>
      </c>
      <c r="E150" s="38">
        <v>2</v>
      </c>
      <c r="F150" s="38">
        <v>60</v>
      </c>
      <c r="G150" s="38">
        <v>8</v>
      </c>
      <c r="H150" s="38">
        <v>1</v>
      </c>
      <c r="I150" s="38" t="s">
        <v>157</v>
      </c>
      <c r="J150" s="38">
        <v>1.2</v>
      </c>
      <c r="K150" s="38">
        <f t="shared" si="12"/>
        <v>960</v>
      </c>
      <c r="L150" s="38">
        <f t="shared" si="13"/>
        <v>0.96</v>
      </c>
      <c r="M150" s="38">
        <f t="shared" si="14"/>
        <v>120</v>
      </c>
      <c r="N150" s="38">
        <f t="shared" si="15"/>
        <v>144</v>
      </c>
      <c r="O150" s="38"/>
    </row>
    <row r="151" spans="1:15">
      <c r="A151" s="38" t="s">
        <v>78</v>
      </c>
      <c r="B151" s="38" t="s">
        <v>244</v>
      </c>
      <c r="C151" s="38" t="s">
        <v>237</v>
      </c>
      <c r="D151" s="38" t="s">
        <v>181</v>
      </c>
      <c r="E151" s="38">
        <v>1</v>
      </c>
      <c r="F151" s="38">
        <v>1200</v>
      </c>
      <c r="G151" s="38">
        <v>8</v>
      </c>
      <c r="H151" s="38">
        <v>0.6</v>
      </c>
      <c r="I151" s="38" t="s">
        <v>157</v>
      </c>
      <c r="J151" s="38">
        <v>3.5</v>
      </c>
      <c r="K151" s="38">
        <f t="shared" si="12"/>
        <v>5760</v>
      </c>
      <c r="L151" s="38">
        <f t="shared" si="13"/>
        <v>5.76</v>
      </c>
      <c r="M151" s="38">
        <f t="shared" si="14"/>
        <v>1200</v>
      </c>
      <c r="N151" s="38">
        <f t="shared" si="15"/>
        <v>4200</v>
      </c>
      <c r="O151" s="38"/>
    </row>
    <row r="152" spans="1:15">
      <c r="A152" s="38" t="s">
        <v>78</v>
      </c>
      <c r="B152" s="38" t="s">
        <v>244</v>
      </c>
      <c r="C152" s="38" t="s">
        <v>237</v>
      </c>
      <c r="D152" s="38" t="s">
        <v>245</v>
      </c>
      <c r="E152" s="38">
        <v>4</v>
      </c>
      <c r="F152" s="38">
        <v>15</v>
      </c>
      <c r="G152" s="38">
        <v>6</v>
      </c>
      <c r="H152" s="38">
        <v>1</v>
      </c>
      <c r="I152" s="38" t="s">
        <v>98</v>
      </c>
      <c r="J152" s="38">
        <v>1</v>
      </c>
      <c r="K152" s="38">
        <f t="shared" si="12"/>
        <v>360</v>
      </c>
      <c r="L152" s="38">
        <f t="shared" si="13"/>
        <v>0.36</v>
      </c>
      <c r="M152" s="38">
        <f t="shared" si="14"/>
        <v>60</v>
      </c>
      <c r="N152" s="38">
        <f t="shared" si="15"/>
        <v>60</v>
      </c>
      <c r="O152" s="38"/>
    </row>
    <row r="153" spans="1:15">
      <c r="A153" s="38" t="s">
        <v>78</v>
      </c>
      <c r="B153" s="38" t="s">
        <v>244</v>
      </c>
      <c r="C153" s="38" t="s">
        <v>237</v>
      </c>
      <c r="D153" s="38" t="s">
        <v>246</v>
      </c>
      <c r="E153" s="38">
        <v>2</v>
      </c>
      <c r="F153" s="38">
        <v>1200</v>
      </c>
      <c r="G153" s="38">
        <v>1</v>
      </c>
      <c r="H153" s="38">
        <v>1</v>
      </c>
      <c r="I153" s="38" t="s">
        <v>157</v>
      </c>
      <c r="J153" s="38">
        <v>1</v>
      </c>
      <c r="K153" s="38">
        <f t="shared" si="12"/>
        <v>2400</v>
      </c>
      <c r="L153" s="38">
        <f t="shared" si="13"/>
        <v>2.4</v>
      </c>
      <c r="M153" s="38">
        <f t="shared" si="14"/>
        <v>2400</v>
      </c>
      <c r="N153" s="38">
        <f t="shared" si="15"/>
        <v>2400</v>
      </c>
      <c r="O153" s="38"/>
    </row>
    <row r="154" spans="1:15">
      <c r="A154" s="38" t="s">
        <v>78</v>
      </c>
      <c r="B154" s="38" t="s">
        <v>244</v>
      </c>
      <c r="C154" s="38" t="s">
        <v>237</v>
      </c>
      <c r="D154" s="38" t="s">
        <v>247</v>
      </c>
      <c r="E154" s="38">
        <v>1</v>
      </c>
      <c r="F154" s="38">
        <v>300</v>
      </c>
      <c r="G154" s="38">
        <v>2</v>
      </c>
      <c r="H154" s="38">
        <v>1</v>
      </c>
      <c r="I154" s="38" t="s">
        <v>157</v>
      </c>
      <c r="J154" s="38">
        <v>1</v>
      </c>
      <c r="K154" s="38">
        <f t="shared" si="12"/>
        <v>600</v>
      </c>
      <c r="L154" s="38">
        <f t="shared" si="13"/>
        <v>0.6</v>
      </c>
      <c r="M154" s="38">
        <f t="shared" si="14"/>
        <v>300</v>
      </c>
      <c r="N154" s="38">
        <f t="shared" si="15"/>
        <v>300</v>
      </c>
      <c r="O154" s="38"/>
    </row>
    <row r="155" spans="1:15">
      <c r="A155" s="38" t="s">
        <v>78</v>
      </c>
      <c r="B155" s="38" t="s">
        <v>244</v>
      </c>
      <c r="C155" s="38" t="s">
        <v>237</v>
      </c>
      <c r="D155" s="38" t="s">
        <v>248</v>
      </c>
      <c r="E155" s="38">
        <v>1</v>
      </c>
      <c r="F155" s="38">
        <v>150</v>
      </c>
      <c r="G155" s="38">
        <v>8</v>
      </c>
      <c r="H155" s="38">
        <v>1</v>
      </c>
      <c r="I155" s="38" t="s">
        <v>157</v>
      </c>
      <c r="J155" s="38">
        <v>1.2</v>
      </c>
      <c r="K155" s="38">
        <f t="shared" si="12"/>
        <v>1200</v>
      </c>
      <c r="L155" s="38">
        <f t="shared" si="13"/>
        <v>1.2</v>
      </c>
      <c r="M155" s="38">
        <f t="shared" si="14"/>
        <v>150</v>
      </c>
      <c r="N155" s="38">
        <f t="shared" si="15"/>
        <v>180</v>
      </c>
      <c r="O155" s="38"/>
    </row>
    <row r="156" spans="1:15">
      <c r="A156" s="38" t="s">
        <v>78</v>
      </c>
      <c r="B156" s="38" t="s">
        <v>244</v>
      </c>
      <c r="C156" s="38" t="s">
        <v>237</v>
      </c>
      <c r="D156" s="38" t="s">
        <v>228</v>
      </c>
      <c r="E156" s="38">
        <v>1</v>
      </c>
      <c r="F156" s="38">
        <v>50</v>
      </c>
      <c r="G156" s="38">
        <v>10</v>
      </c>
      <c r="H156" s="38">
        <v>1</v>
      </c>
      <c r="I156" s="38" t="s">
        <v>98</v>
      </c>
      <c r="J156" s="38">
        <v>1</v>
      </c>
      <c r="K156" s="38">
        <f t="shared" si="12"/>
        <v>500</v>
      </c>
      <c r="L156" s="38">
        <f t="shared" si="13"/>
        <v>0.5</v>
      </c>
      <c r="M156" s="38">
        <f t="shared" si="14"/>
        <v>50</v>
      </c>
      <c r="N156" s="38">
        <f t="shared" si="15"/>
        <v>50</v>
      </c>
      <c r="O156" s="38"/>
    </row>
    <row r="157" spans="1:15">
      <c r="A157" s="38" t="s">
        <v>78</v>
      </c>
      <c r="B157" s="38" t="s">
        <v>249</v>
      </c>
      <c r="C157" s="38" t="s">
        <v>77</v>
      </c>
      <c r="D157" s="38" t="s">
        <v>231</v>
      </c>
      <c r="E157" s="38">
        <v>20</v>
      </c>
      <c r="F157" s="38">
        <v>10</v>
      </c>
      <c r="G157" s="38">
        <v>9</v>
      </c>
      <c r="H157" s="38">
        <v>1</v>
      </c>
      <c r="I157" s="38" t="s">
        <v>98</v>
      </c>
      <c r="J157" s="38">
        <v>1</v>
      </c>
      <c r="K157" s="38">
        <f t="shared" ref="K157:K220" si="16">E157*F157*G157*H157</f>
        <v>1800</v>
      </c>
      <c r="L157" s="38">
        <f t="shared" ref="L157:L220" si="17">K157/1000</f>
        <v>1.8</v>
      </c>
      <c r="M157" s="38">
        <f t="shared" ref="M157:M220" si="18">E157*F157</f>
        <v>200</v>
      </c>
      <c r="N157" s="38">
        <f t="shared" ref="N157:N220" si="19">M157*J157</f>
        <v>200</v>
      </c>
      <c r="O157" s="38"/>
    </row>
    <row r="158" spans="1:15">
      <c r="A158" s="38" t="s">
        <v>78</v>
      </c>
      <c r="B158" s="38" t="s">
        <v>249</v>
      </c>
      <c r="C158" s="38" t="s">
        <v>77</v>
      </c>
      <c r="D158" s="38" t="s">
        <v>250</v>
      </c>
      <c r="E158" s="38">
        <v>10</v>
      </c>
      <c r="F158" s="38">
        <v>65</v>
      </c>
      <c r="G158" s="38">
        <v>8</v>
      </c>
      <c r="H158" s="38">
        <v>1</v>
      </c>
      <c r="I158" s="38" t="s">
        <v>98</v>
      </c>
      <c r="J158" s="38">
        <v>1</v>
      </c>
      <c r="K158" s="38">
        <f t="shared" si="16"/>
        <v>5200</v>
      </c>
      <c r="L158" s="38">
        <f t="shared" si="17"/>
        <v>5.2</v>
      </c>
      <c r="M158" s="38">
        <f t="shared" si="18"/>
        <v>650</v>
      </c>
      <c r="N158" s="38">
        <f t="shared" si="19"/>
        <v>650</v>
      </c>
      <c r="O158" s="38"/>
    </row>
    <row r="159" spans="1:15">
      <c r="A159" s="38" t="s">
        <v>78</v>
      </c>
      <c r="B159" s="38" t="s">
        <v>249</v>
      </c>
      <c r="C159" s="38" t="s">
        <v>77</v>
      </c>
      <c r="D159" s="38" t="s">
        <v>251</v>
      </c>
      <c r="E159" s="38">
        <v>3</v>
      </c>
      <c r="F159" s="38">
        <v>150</v>
      </c>
      <c r="G159" s="38">
        <v>8</v>
      </c>
      <c r="H159" s="38">
        <v>1</v>
      </c>
      <c r="I159" s="38" t="s">
        <v>157</v>
      </c>
      <c r="J159" s="38">
        <v>1.5</v>
      </c>
      <c r="K159" s="38">
        <f t="shared" si="16"/>
        <v>3600</v>
      </c>
      <c r="L159" s="38">
        <f t="shared" si="17"/>
        <v>3.6</v>
      </c>
      <c r="M159" s="38">
        <f t="shared" si="18"/>
        <v>450</v>
      </c>
      <c r="N159" s="38">
        <f t="shared" si="19"/>
        <v>675</v>
      </c>
      <c r="O159" s="38"/>
    </row>
    <row r="160" spans="1:15">
      <c r="A160" s="38" t="s">
        <v>78</v>
      </c>
      <c r="B160" s="38" t="s">
        <v>249</v>
      </c>
      <c r="C160" s="38" t="s">
        <v>77</v>
      </c>
      <c r="D160" s="38" t="s">
        <v>252</v>
      </c>
      <c r="E160" s="38">
        <v>1</v>
      </c>
      <c r="F160" s="38">
        <v>500</v>
      </c>
      <c r="G160" s="38">
        <v>0.5</v>
      </c>
      <c r="H160" s="38">
        <v>1</v>
      </c>
      <c r="I160" s="38" t="s">
        <v>157</v>
      </c>
      <c r="J160" s="38">
        <v>2</v>
      </c>
      <c r="K160" s="38">
        <f t="shared" si="16"/>
        <v>250</v>
      </c>
      <c r="L160" s="38">
        <f t="shared" si="17"/>
        <v>0.25</v>
      </c>
      <c r="M160" s="38">
        <f t="shared" si="18"/>
        <v>500</v>
      </c>
      <c r="N160" s="38">
        <f t="shared" si="19"/>
        <v>1000</v>
      </c>
      <c r="O160" s="38"/>
    </row>
    <row r="161" spans="1:15">
      <c r="A161" s="38" t="s">
        <v>78</v>
      </c>
      <c r="B161" s="38" t="s">
        <v>249</v>
      </c>
      <c r="C161" s="38" t="s">
        <v>77</v>
      </c>
      <c r="D161" s="38" t="s">
        <v>253</v>
      </c>
      <c r="E161" s="38">
        <v>1</v>
      </c>
      <c r="F161" s="38">
        <v>80</v>
      </c>
      <c r="G161" s="38">
        <v>24</v>
      </c>
      <c r="H161" s="38">
        <v>1</v>
      </c>
      <c r="I161" s="38" t="s">
        <v>98</v>
      </c>
      <c r="J161" s="38">
        <v>1</v>
      </c>
      <c r="K161" s="38">
        <f t="shared" si="16"/>
        <v>1920</v>
      </c>
      <c r="L161" s="38">
        <f t="shared" si="17"/>
        <v>1.92</v>
      </c>
      <c r="M161" s="38">
        <f t="shared" si="18"/>
        <v>80</v>
      </c>
      <c r="N161" s="38">
        <f t="shared" si="19"/>
        <v>80</v>
      </c>
      <c r="O161" s="38"/>
    </row>
    <row r="162" spans="1:15">
      <c r="A162" s="38" t="s">
        <v>78</v>
      </c>
      <c r="B162" s="38" t="s">
        <v>249</v>
      </c>
      <c r="C162" s="38" t="s">
        <v>77</v>
      </c>
      <c r="D162" s="38" t="s">
        <v>156</v>
      </c>
      <c r="E162" s="38">
        <v>4</v>
      </c>
      <c r="F162" s="38">
        <v>60</v>
      </c>
      <c r="G162" s="38">
        <v>8</v>
      </c>
      <c r="H162" s="38">
        <v>1</v>
      </c>
      <c r="I162" s="38" t="s">
        <v>157</v>
      </c>
      <c r="J162" s="38">
        <v>1.2</v>
      </c>
      <c r="K162" s="38">
        <f t="shared" si="16"/>
        <v>1920</v>
      </c>
      <c r="L162" s="38">
        <f t="shared" si="17"/>
        <v>1.92</v>
      </c>
      <c r="M162" s="38">
        <f t="shared" si="18"/>
        <v>240</v>
      </c>
      <c r="N162" s="38">
        <f t="shared" si="19"/>
        <v>288</v>
      </c>
      <c r="O162" s="38"/>
    </row>
    <row r="163" spans="1:15">
      <c r="A163" s="38" t="s">
        <v>78</v>
      </c>
      <c r="B163" s="38" t="s">
        <v>249</v>
      </c>
      <c r="C163" s="38" t="s">
        <v>77</v>
      </c>
      <c r="D163" s="38" t="s">
        <v>181</v>
      </c>
      <c r="E163" s="38">
        <v>2</v>
      </c>
      <c r="F163" s="38">
        <v>1200</v>
      </c>
      <c r="G163" s="38">
        <v>7</v>
      </c>
      <c r="H163" s="38">
        <v>0.6</v>
      </c>
      <c r="I163" s="38" t="s">
        <v>157</v>
      </c>
      <c r="J163" s="38">
        <v>3.5</v>
      </c>
      <c r="K163" s="38">
        <f t="shared" si="16"/>
        <v>10080</v>
      </c>
      <c r="L163" s="38">
        <f t="shared" si="17"/>
        <v>10.08</v>
      </c>
      <c r="M163" s="38">
        <f t="shared" si="18"/>
        <v>2400</v>
      </c>
      <c r="N163" s="38">
        <f t="shared" si="19"/>
        <v>8400</v>
      </c>
      <c r="O163" s="38"/>
    </row>
    <row r="164" spans="1:15">
      <c r="A164" s="38" t="s">
        <v>78</v>
      </c>
      <c r="B164" s="38" t="s">
        <v>254</v>
      </c>
      <c r="C164" s="38" t="s">
        <v>255</v>
      </c>
      <c r="D164" s="38" t="s">
        <v>256</v>
      </c>
      <c r="E164" s="38">
        <v>20</v>
      </c>
      <c r="F164" s="38">
        <v>10</v>
      </c>
      <c r="G164" s="38">
        <v>10</v>
      </c>
      <c r="H164" s="38">
        <v>1</v>
      </c>
      <c r="I164" s="38" t="s">
        <v>98</v>
      </c>
      <c r="J164" s="38">
        <v>1</v>
      </c>
      <c r="K164" s="38">
        <f t="shared" si="16"/>
        <v>2000</v>
      </c>
      <c r="L164" s="38">
        <f t="shared" si="17"/>
        <v>2</v>
      </c>
      <c r="M164" s="38">
        <f t="shared" si="18"/>
        <v>200</v>
      </c>
      <c r="N164" s="38">
        <f t="shared" si="19"/>
        <v>200</v>
      </c>
      <c r="O164" s="38"/>
    </row>
    <row r="165" spans="1:15">
      <c r="A165" s="38" t="s">
        <v>78</v>
      </c>
      <c r="B165" s="38" t="s">
        <v>254</v>
      </c>
      <c r="C165" s="38" t="s">
        <v>255</v>
      </c>
      <c r="D165" s="38" t="s">
        <v>257</v>
      </c>
      <c r="E165" s="38">
        <v>10</v>
      </c>
      <c r="F165" s="38">
        <v>15</v>
      </c>
      <c r="G165" s="38">
        <v>10</v>
      </c>
      <c r="H165" s="38">
        <v>1</v>
      </c>
      <c r="I165" s="38" t="s">
        <v>98</v>
      </c>
      <c r="J165" s="38">
        <v>1</v>
      </c>
      <c r="K165" s="38">
        <f t="shared" si="16"/>
        <v>1500</v>
      </c>
      <c r="L165" s="38">
        <f t="shared" si="17"/>
        <v>1.5</v>
      </c>
      <c r="M165" s="38">
        <f t="shared" si="18"/>
        <v>150</v>
      </c>
      <c r="N165" s="38">
        <f t="shared" si="19"/>
        <v>150</v>
      </c>
      <c r="O165" s="38"/>
    </row>
    <row r="166" spans="1:15">
      <c r="A166" s="38" t="s">
        <v>78</v>
      </c>
      <c r="B166" s="38" t="s">
        <v>254</v>
      </c>
      <c r="C166" s="38" t="s">
        <v>255</v>
      </c>
      <c r="D166" s="38" t="s">
        <v>228</v>
      </c>
      <c r="E166" s="38">
        <v>1</v>
      </c>
      <c r="F166" s="38">
        <v>80</v>
      </c>
      <c r="G166" s="38">
        <v>12</v>
      </c>
      <c r="H166" s="38">
        <v>1</v>
      </c>
      <c r="I166" s="38" t="s">
        <v>98</v>
      </c>
      <c r="J166" s="38">
        <v>1</v>
      </c>
      <c r="K166" s="38">
        <f t="shared" si="16"/>
        <v>960</v>
      </c>
      <c r="L166" s="38">
        <f t="shared" si="17"/>
        <v>0.96</v>
      </c>
      <c r="M166" s="38">
        <f t="shared" si="18"/>
        <v>80</v>
      </c>
      <c r="N166" s="38">
        <f t="shared" si="19"/>
        <v>80</v>
      </c>
      <c r="O166" s="38"/>
    </row>
    <row r="167" spans="1:15">
      <c r="A167" s="38" t="s">
        <v>78</v>
      </c>
      <c r="B167" s="38" t="s">
        <v>254</v>
      </c>
      <c r="C167" s="38" t="s">
        <v>255</v>
      </c>
      <c r="D167" s="38" t="s">
        <v>258</v>
      </c>
      <c r="E167" s="38">
        <v>2</v>
      </c>
      <c r="F167" s="38">
        <v>300</v>
      </c>
      <c r="G167" s="38">
        <v>24</v>
      </c>
      <c r="H167" s="38">
        <v>0.5</v>
      </c>
      <c r="I167" s="38" t="s">
        <v>98</v>
      </c>
      <c r="J167" s="38">
        <v>2.5</v>
      </c>
      <c r="K167" s="38">
        <f t="shared" si="16"/>
        <v>7200</v>
      </c>
      <c r="L167" s="38">
        <f t="shared" si="17"/>
        <v>7.2</v>
      </c>
      <c r="M167" s="38">
        <f t="shared" si="18"/>
        <v>600</v>
      </c>
      <c r="N167" s="38">
        <f t="shared" si="19"/>
        <v>1500</v>
      </c>
      <c r="O167" s="38"/>
    </row>
    <row r="168" spans="1:15">
      <c r="A168" s="38" t="s">
        <v>78</v>
      </c>
      <c r="B168" s="38" t="s">
        <v>254</v>
      </c>
      <c r="C168" s="38" t="s">
        <v>255</v>
      </c>
      <c r="D168" s="38" t="s">
        <v>259</v>
      </c>
      <c r="E168" s="38">
        <v>2</v>
      </c>
      <c r="F168" s="38">
        <v>300</v>
      </c>
      <c r="G168" s="38">
        <v>24</v>
      </c>
      <c r="H168" s="38">
        <v>0.5</v>
      </c>
      <c r="I168" s="38" t="s">
        <v>98</v>
      </c>
      <c r="J168" s="38">
        <v>2.5</v>
      </c>
      <c r="K168" s="38">
        <f t="shared" si="16"/>
        <v>7200</v>
      </c>
      <c r="L168" s="38">
        <f t="shared" si="17"/>
        <v>7.2</v>
      </c>
      <c r="M168" s="38">
        <f t="shared" si="18"/>
        <v>600</v>
      </c>
      <c r="N168" s="38">
        <f t="shared" si="19"/>
        <v>1500</v>
      </c>
      <c r="O168" s="38"/>
    </row>
    <row r="169" spans="1:15">
      <c r="A169" s="38" t="s">
        <v>78</v>
      </c>
      <c r="B169" s="38" t="s">
        <v>254</v>
      </c>
      <c r="C169" s="38" t="s">
        <v>255</v>
      </c>
      <c r="D169" s="38" t="s">
        <v>260</v>
      </c>
      <c r="E169" s="38">
        <v>2</v>
      </c>
      <c r="F169" s="38">
        <v>150</v>
      </c>
      <c r="G169" s="38">
        <v>8</v>
      </c>
      <c r="H169" s="38">
        <v>1</v>
      </c>
      <c r="I169" s="38" t="s">
        <v>98</v>
      </c>
      <c r="J169" s="38">
        <v>1.5</v>
      </c>
      <c r="K169" s="38">
        <f t="shared" si="16"/>
        <v>2400</v>
      </c>
      <c r="L169" s="38">
        <f t="shared" si="17"/>
        <v>2.4</v>
      </c>
      <c r="M169" s="38">
        <f t="shared" si="18"/>
        <v>300</v>
      </c>
      <c r="N169" s="38">
        <f t="shared" si="19"/>
        <v>450</v>
      </c>
      <c r="O169" s="38"/>
    </row>
    <row r="170" spans="1:15">
      <c r="A170" s="38" t="s">
        <v>78</v>
      </c>
      <c r="B170" s="38" t="s">
        <v>254</v>
      </c>
      <c r="C170" s="38" t="s">
        <v>255</v>
      </c>
      <c r="D170" s="38" t="s">
        <v>261</v>
      </c>
      <c r="E170" s="38">
        <v>2</v>
      </c>
      <c r="F170" s="38">
        <v>600</v>
      </c>
      <c r="G170" s="38">
        <v>1.5</v>
      </c>
      <c r="H170" s="38">
        <v>1</v>
      </c>
      <c r="I170" s="38" t="s">
        <v>157</v>
      </c>
      <c r="J170" s="38">
        <v>1.5</v>
      </c>
      <c r="K170" s="38">
        <f t="shared" si="16"/>
        <v>1800</v>
      </c>
      <c r="L170" s="38">
        <f t="shared" si="17"/>
        <v>1.8</v>
      </c>
      <c r="M170" s="38">
        <f t="shared" si="18"/>
        <v>1200</v>
      </c>
      <c r="N170" s="38">
        <f t="shared" si="19"/>
        <v>1800</v>
      </c>
      <c r="O170" s="38"/>
    </row>
    <row r="171" spans="1:15">
      <c r="A171" s="38" t="s">
        <v>78</v>
      </c>
      <c r="B171" s="38" t="s">
        <v>254</v>
      </c>
      <c r="C171" s="38" t="s">
        <v>255</v>
      </c>
      <c r="D171" s="38" t="s">
        <v>131</v>
      </c>
      <c r="E171" s="38">
        <v>1</v>
      </c>
      <c r="F171" s="38">
        <v>1200</v>
      </c>
      <c r="G171" s="38">
        <v>1</v>
      </c>
      <c r="H171" s="38">
        <v>1</v>
      </c>
      <c r="I171" s="38" t="s">
        <v>157</v>
      </c>
      <c r="J171" s="38">
        <v>1</v>
      </c>
      <c r="K171" s="38">
        <f t="shared" si="16"/>
        <v>1200</v>
      </c>
      <c r="L171" s="38">
        <f t="shared" si="17"/>
        <v>1.2</v>
      </c>
      <c r="M171" s="38">
        <f t="shared" si="18"/>
        <v>1200</v>
      </c>
      <c r="N171" s="38">
        <f t="shared" si="19"/>
        <v>1200</v>
      </c>
      <c r="O171" s="38"/>
    </row>
    <row r="172" spans="1:15">
      <c r="A172" s="38" t="s">
        <v>78</v>
      </c>
      <c r="B172" s="38" t="s">
        <v>254</v>
      </c>
      <c r="C172" s="38" t="s">
        <v>255</v>
      </c>
      <c r="D172" s="38" t="s">
        <v>156</v>
      </c>
      <c r="E172" s="38">
        <v>4</v>
      </c>
      <c r="F172" s="38">
        <v>60</v>
      </c>
      <c r="G172" s="38">
        <v>8</v>
      </c>
      <c r="H172" s="38">
        <v>1</v>
      </c>
      <c r="I172" s="38" t="s">
        <v>157</v>
      </c>
      <c r="J172" s="38">
        <v>1.2</v>
      </c>
      <c r="K172" s="38">
        <f t="shared" si="16"/>
        <v>1920</v>
      </c>
      <c r="L172" s="38">
        <f t="shared" si="17"/>
        <v>1.92</v>
      </c>
      <c r="M172" s="38">
        <f t="shared" si="18"/>
        <v>240</v>
      </c>
      <c r="N172" s="38">
        <f t="shared" si="19"/>
        <v>288</v>
      </c>
      <c r="O172" s="38"/>
    </row>
    <row r="173" spans="1:15">
      <c r="A173" s="38" t="s">
        <v>78</v>
      </c>
      <c r="B173" s="38" t="s">
        <v>254</v>
      </c>
      <c r="C173" s="38" t="s">
        <v>255</v>
      </c>
      <c r="D173" s="38" t="s">
        <v>227</v>
      </c>
      <c r="E173" s="38">
        <v>1</v>
      </c>
      <c r="F173" s="38">
        <v>1800</v>
      </c>
      <c r="G173" s="38">
        <v>6</v>
      </c>
      <c r="H173" s="38">
        <v>0.6</v>
      </c>
      <c r="I173" s="38" t="s">
        <v>157</v>
      </c>
      <c r="J173" s="38">
        <v>3.5</v>
      </c>
      <c r="K173" s="38">
        <f t="shared" si="16"/>
        <v>6480</v>
      </c>
      <c r="L173" s="38">
        <f t="shared" si="17"/>
        <v>6.48</v>
      </c>
      <c r="M173" s="38">
        <f t="shared" si="18"/>
        <v>1800</v>
      </c>
      <c r="N173" s="38">
        <f t="shared" si="19"/>
        <v>6300</v>
      </c>
      <c r="O173" s="38"/>
    </row>
    <row r="174" spans="1:15">
      <c r="A174" s="38" t="s">
        <v>78</v>
      </c>
      <c r="B174" s="38" t="s">
        <v>262</v>
      </c>
      <c r="C174" s="38" t="s">
        <v>263</v>
      </c>
      <c r="D174" s="38" t="s">
        <v>231</v>
      </c>
      <c r="E174" s="38">
        <v>16</v>
      </c>
      <c r="F174" s="38">
        <v>15</v>
      </c>
      <c r="G174" s="38">
        <v>10</v>
      </c>
      <c r="H174" s="38">
        <v>1</v>
      </c>
      <c r="I174" s="38" t="s">
        <v>98</v>
      </c>
      <c r="J174" s="38">
        <v>1</v>
      </c>
      <c r="K174" s="38">
        <f t="shared" si="16"/>
        <v>2400</v>
      </c>
      <c r="L174" s="38">
        <f t="shared" si="17"/>
        <v>2.4</v>
      </c>
      <c r="M174" s="38">
        <f t="shared" si="18"/>
        <v>240</v>
      </c>
      <c r="N174" s="38">
        <f t="shared" si="19"/>
        <v>240</v>
      </c>
      <c r="O174" s="38"/>
    </row>
    <row r="175" spans="1:15">
      <c r="A175" s="38" t="s">
        <v>78</v>
      </c>
      <c r="B175" s="38" t="s">
        <v>262</v>
      </c>
      <c r="C175" s="38" t="s">
        <v>263</v>
      </c>
      <c r="D175" s="38" t="s">
        <v>258</v>
      </c>
      <c r="E175" s="38">
        <v>1</v>
      </c>
      <c r="F175" s="38">
        <v>300</v>
      </c>
      <c r="G175" s="38">
        <v>24</v>
      </c>
      <c r="H175" s="38">
        <v>0.5</v>
      </c>
      <c r="I175" s="38" t="s">
        <v>157</v>
      </c>
      <c r="J175" s="38">
        <v>2.5</v>
      </c>
      <c r="K175" s="38">
        <f t="shared" si="16"/>
        <v>3600</v>
      </c>
      <c r="L175" s="38">
        <f t="shared" si="17"/>
        <v>3.6</v>
      </c>
      <c r="M175" s="38">
        <f t="shared" si="18"/>
        <v>300</v>
      </c>
      <c r="N175" s="38">
        <f t="shared" si="19"/>
        <v>750</v>
      </c>
      <c r="O175" s="38"/>
    </row>
    <row r="176" spans="1:15">
      <c r="A176" s="38" t="s">
        <v>78</v>
      </c>
      <c r="B176" s="38" t="s">
        <v>262</v>
      </c>
      <c r="C176" s="38" t="s">
        <v>263</v>
      </c>
      <c r="D176" s="38" t="s">
        <v>264</v>
      </c>
      <c r="E176" s="38">
        <v>1</v>
      </c>
      <c r="F176" s="38">
        <v>1500</v>
      </c>
      <c r="G176" s="38">
        <v>2</v>
      </c>
      <c r="H176" s="38">
        <v>1</v>
      </c>
      <c r="I176" s="38" t="s">
        <v>98</v>
      </c>
      <c r="J176" s="38">
        <v>2</v>
      </c>
      <c r="K176" s="38">
        <f t="shared" si="16"/>
        <v>3000</v>
      </c>
      <c r="L176" s="38">
        <f t="shared" si="17"/>
        <v>3</v>
      </c>
      <c r="M176" s="38">
        <f t="shared" si="18"/>
        <v>1500</v>
      </c>
      <c r="N176" s="38">
        <f t="shared" si="19"/>
        <v>3000</v>
      </c>
      <c r="O176" s="38"/>
    </row>
    <row r="177" spans="1:15">
      <c r="A177" s="38" t="s">
        <v>78</v>
      </c>
      <c r="B177" s="38" t="s">
        <v>262</v>
      </c>
      <c r="C177" s="38" t="s">
        <v>263</v>
      </c>
      <c r="D177" s="38" t="s">
        <v>266</v>
      </c>
      <c r="E177" s="38">
        <v>1</v>
      </c>
      <c r="F177" s="38">
        <v>1000</v>
      </c>
      <c r="G177" s="38">
        <v>3</v>
      </c>
      <c r="H177" s="38">
        <v>0.6</v>
      </c>
      <c r="I177" s="38" t="s">
        <v>157</v>
      </c>
      <c r="J177" s="38">
        <v>1.5</v>
      </c>
      <c r="K177" s="38">
        <f t="shared" si="16"/>
        <v>1800</v>
      </c>
      <c r="L177" s="38">
        <f t="shared" si="17"/>
        <v>1.8</v>
      </c>
      <c r="M177" s="38">
        <f t="shared" si="18"/>
        <v>1000</v>
      </c>
      <c r="N177" s="38">
        <f t="shared" si="19"/>
        <v>1500</v>
      </c>
      <c r="O177" s="38"/>
    </row>
    <row r="178" spans="1:15">
      <c r="A178" s="38" t="s">
        <v>78</v>
      </c>
      <c r="B178" s="38" t="s">
        <v>262</v>
      </c>
      <c r="C178" s="38" t="s">
        <v>263</v>
      </c>
      <c r="D178" s="38" t="s">
        <v>267</v>
      </c>
      <c r="E178" s="38">
        <v>1</v>
      </c>
      <c r="F178" s="38">
        <v>3000</v>
      </c>
      <c r="G178" s="38">
        <v>2</v>
      </c>
      <c r="H178" s="38">
        <v>0.7</v>
      </c>
      <c r="I178" s="38" t="s">
        <v>97</v>
      </c>
      <c r="J178" s="38">
        <v>1.2</v>
      </c>
      <c r="K178" s="38">
        <f t="shared" si="16"/>
        <v>4200</v>
      </c>
      <c r="L178" s="38">
        <f t="shared" si="17"/>
        <v>4.2</v>
      </c>
      <c r="M178" s="38">
        <f t="shared" si="18"/>
        <v>3000</v>
      </c>
      <c r="N178" s="38">
        <f t="shared" si="19"/>
        <v>3600</v>
      </c>
      <c r="O178" s="38"/>
    </row>
    <row r="179" spans="1:15">
      <c r="A179" s="38" t="s">
        <v>78</v>
      </c>
      <c r="B179" s="38" t="s">
        <v>262</v>
      </c>
      <c r="C179" s="38" t="s">
        <v>263</v>
      </c>
      <c r="D179" s="38" t="s">
        <v>228</v>
      </c>
      <c r="E179" s="38">
        <v>1</v>
      </c>
      <c r="F179" s="38">
        <v>80</v>
      </c>
      <c r="G179" s="38">
        <v>10</v>
      </c>
      <c r="H179" s="38">
        <v>1</v>
      </c>
      <c r="I179" s="38" t="s">
        <v>98</v>
      </c>
      <c r="J179" s="38">
        <v>1</v>
      </c>
      <c r="K179" s="38">
        <f t="shared" si="16"/>
        <v>800</v>
      </c>
      <c r="L179" s="38">
        <f t="shared" si="17"/>
        <v>0.8</v>
      </c>
      <c r="M179" s="38">
        <f t="shared" si="18"/>
        <v>80</v>
      </c>
      <c r="N179" s="38">
        <f t="shared" si="19"/>
        <v>80</v>
      </c>
      <c r="O179" s="38"/>
    </row>
    <row r="180" spans="1:15">
      <c r="A180" s="38" t="s">
        <v>78</v>
      </c>
      <c r="B180" s="38" t="s">
        <v>262</v>
      </c>
      <c r="C180" s="38" t="s">
        <v>263</v>
      </c>
      <c r="D180" s="38" t="s">
        <v>260</v>
      </c>
      <c r="E180" s="38">
        <v>1</v>
      </c>
      <c r="F180" s="38">
        <v>150</v>
      </c>
      <c r="G180" s="38">
        <v>8</v>
      </c>
      <c r="H180" s="38">
        <v>1</v>
      </c>
      <c r="I180" s="38" t="s">
        <v>98</v>
      </c>
      <c r="J180" s="38">
        <v>1.5</v>
      </c>
      <c r="K180" s="38">
        <f t="shared" si="16"/>
        <v>1200</v>
      </c>
      <c r="L180" s="38">
        <f t="shared" si="17"/>
        <v>1.2</v>
      </c>
      <c r="M180" s="38">
        <f t="shared" si="18"/>
        <v>150</v>
      </c>
      <c r="N180" s="38">
        <f t="shared" si="19"/>
        <v>225</v>
      </c>
      <c r="O180" s="38"/>
    </row>
    <row r="181" spans="1:15">
      <c r="A181" s="38" t="s">
        <v>78</v>
      </c>
      <c r="B181" s="38" t="s">
        <v>268</v>
      </c>
      <c r="C181" s="38" t="s">
        <v>269</v>
      </c>
      <c r="D181" s="38" t="s">
        <v>270</v>
      </c>
      <c r="E181" s="38">
        <v>30</v>
      </c>
      <c r="F181" s="38">
        <v>20</v>
      </c>
      <c r="G181" s="38">
        <v>12</v>
      </c>
      <c r="H181" s="38">
        <v>1</v>
      </c>
      <c r="I181" s="38" t="s">
        <v>98</v>
      </c>
      <c r="J181" s="38">
        <v>1</v>
      </c>
      <c r="K181" s="38">
        <f t="shared" si="16"/>
        <v>7200</v>
      </c>
      <c r="L181" s="38">
        <f t="shared" si="17"/>
        <v>7.2</v>
      </c>
      <c r="M181" s="38">
        <f t="shared" si="18"/>
        <v>600</v>
      </c>
      <c r="N181" s="38">
        <f t="shared" si="19"/>
        <v>600</v>
      </c>
      <c r="O181" s="38"/>
    </row>
    <row r="182" spans="1:15">
      <c r="A182" s="38" t="s">
        <v>78</v>
      </c>
      <c r="B182" s="38" t="s">
        <v>268</v>
      </c>
      <c r="C182" s="38" t="s">
        <v>269</v>
      </c>
      <c r="D182" s="38" t="s">
        <v>271</v>
      </c>
      <c r="E182" s="38">
        <v>4</v>
      </c>
      <c r="F182" s="38">
        <v>120</v>
      </c>
      <c r="G182" s="38">
        <v>12</v>
      </c>
      <c r="H182" s="38">
        <v>1</v>
      </c>
      <c r="I182" s="38" t="s">
        <v>98</v>
      </c>
      <c r="J182" s="38">
        <v>1.2</v>
      </c>
      <c r="K182" s="38">
        <f t="shared" si="16"/>
        <v>5760</v>
      </c>
      <c r="L182" s="38">
        <f t="shared" si="17"/>
        <v>5.76</v>
      </c>
      <c r="M182" s="38">
        <f t="shared" si="18"/>
        <v>480</v>
      </c>
      <c r="N182" s="38">
        <f t="shared" si="19"/>
        <v>576</v>
      </c>
      <c r="O182" s="38"/>
    </row>
    <row r="183" spans="1:15">
      <c r="A183" s="38" t="s">
        <v>78</v>
      </c>
      <c r="B183" s="38" t="s">
        <v>268</v>
      </c>
      <c r="C183" s="38" t="s">
        <v>269</v>
      </c>
      <c r="D183" s="38" t="s">
        <v>205</v>
      </c>
      <c r="E183" s="38">
        <v>1</v>
      </c>
      <c r="F183" s="38">
        <v>200</v>
      </c>
      <c r="G183" s="38">
        <v>24</v>
      </c>
      <c r="H183" s="38">
        <v>1</v>
      </c>
      <c r="I183" s="38" t="s">
        <v>98</v>
      </c>
      <c r="J183" s="38">
        <v>1</v>
      </c>
      <c r="K183" s="38">
        <f t="shared" si="16"/>
        <v>4800</v>
      </c>
      <c r="L183" s="38">
        <f t="shared" si="17"/>
        <v>4.8</v>
      </c>
      <c r="M183" s="38">
        <f t="shared" si="18"/>
        <v>200</v>
      </c>
      <c r="N183" s="38">
        <f t="shared" si="19"/>
        <v>200</v>
      </c>
      <c r="O183" s="38"/>
    </row>
    <row r="184" spans="1:15">
      <c r="A184" s="38" t="s">
        <v>78</v>
      </c>
      <c r="B184" s="38" t="s">
        <v>268</v>
      </c>
      <c r="C184" s="38" t="s">
        <v>269</v>
      </c>
      <c r="D184" s="38" t="s">
        <v>253</v>
      </c>
      <c r="E184" s="38">
        <v>1</v>
      </c>
      <c r="F184" s="38">
        <v>80</v>
      </c>
      <c r="G184" s="38">
        <v>24</v>
      </c>
      <c r="H184" s="38">
        <v>1</v>
      </c>
      <c r="I184" s="38" t="s">
        <v>98</v>
      </c>
      <c r="J184" s="38">
        <v>1</v>
      </c>
      <c r="K184" s="38">
        <f t="shared" si="16"/>
        <v>1920</v>
      </c>
      <c r="L184" s="38">
        <f t="shared" si="17"/>
        <v>1.92</v>
      </c>
      <c r="M184" s="38">
        <f t="shared" si="18"/>
        <v>80</v>
      </c>
      <c r="N184" s="38">
        <f t="shared" si="19"/>
        <v>80</v>
      </c>
      <c r="O184" s="38"/>
    </row>
    <row r="185" spans="1:15">
      <c r="A185" s="38" t="s">
        <v>78</v>
      </c>
      <c r="B185" s="38" t="s">
        <v>268</v>
      </c>
      <c r="C185" s="38" t="s">
        <v>269</v>
      </c>
      <c r="D185" s="38" t="s">
        <v>272</v>
      </c>
      <c r="E185" s="38">
        <v>2</v>
      </c>
      <c r="F185" s="38">
        <v>300</v>
      </c>
      <c r="G185" s="38">
        <v>24</v>
      </c>
      <c r="H185" s="38">
        <v>0.5</v>
      </c>
      <c r="I185" s="38" t="s">
        <v>157</v>
      </c>
      <c r="J185" s="38">
        <v>2.5</v>
      </c>
      <c r="K185" s="38">
        <f t="shared" si="16"/>
        <v>7200</v>
      </c>
      <c r="L185" s="38">
        <f t="shared" si="17"/>
        <v>7.2</v>
      </c>
      <c r="M185" s="38">
        <f t="shared" si="18"/>
        <v>600</v>
      </c>
      <c r="N185" s="38">
        <f t="shared" si="19"/>
        <v>1500</v>
      </c>
      <c r="O185" s="38"/>
    </row>
    <row r="186" spans="1:15">
      <c r="A186" s="38" t="s">
        <v>78</v>
      </c>
      <c r="B186" s="38" t="s">
        <v>268</v>
      </c>
      <c r="C186" s="38" t="s">
        <v>269</v>
      </c>
      <c r="D186" s="38" t="s">
        <v>273</v>
      </c>
      <c r="E186" s="38">
        <v>1</v>
      </c>
      <c r="F186" s="38">
        <v>500</v>
      </c>
      <c r="G186" s="38">
        <v>12</v>
      </c>
      <c r="H186" s="38">
        <v>1</v>
      </c>
      <c r="I186" s="38" t="s">
        <v>98</v>
      </c>
      <c r="J186" s="38">
        <v>2</v>
      </c>
      <c r="K186" s="38">
        <f t="shared" si="16"/>
        <v>6000</v>
      </c>
      <c r="L186" s="38">
        <f t="shared" si="17"/>
        <v>6</v>
      </c>
      <c r="M186" s="38">
        <f t="shared" si="18"/>
        <v>500</v>
      </c>
      <c r="N186" s="38">
        <f t="shared" si="19"/>
        <v>1000</v>
      </c>
      <c r="O186" s="38"/>
    </row>
    <row r="187" spans="1:15">
      <c r="A187" s="38" t="s">
        <v>78</v>
      </c>
      <c r="B187" s="38" t="s">
        <v>274</v>
      </c>
      <c r="C187" s="38" t="s">
        <v>275</v>
      </c>
      <c r="D187" s="38" t="s">
        <v>276</v>
      </c>
      <c r="E187" s="38">
        <v>20</v>
      </c>
      <c r="F187" s="38">
        <v>15</v>
      </c>
      <c r="G187" s="38">
        <v>12</v>
      </c>
      <c r="H187" s="38">
        <v>1</v>
      </c>
      <c r="I187" s="38" t="s">
        <v>98</v>
      </c>
      <c r="J187" s="38">
        <v>1</v>
      </c>
      <c r="K187" s="38">
        <f t="shared" si="16"/>
        <v>3600</v>
      </c>
      <c r="L187" s="38">
        <f t="shared" si="17"/>
        <v>3.6</v>
      </c>
      <c r="M187" s="38">
        <f t="shared" si="18"/>
        <v>300</v>
      </c>
      <c r="N187" s="38">
        <f t="shared" si="19"/>
        <v>300</v>
      </c>
      <c r="O187" s="38"/>
    </row>
    <row r="188" spans="1:15">
      <c r="A188" s="38" t="s">
        <v>78</v>
      </c>
      <c r="B188" s="38" t="s">
        <v>274</v>
      </c>
      <c r="C188" s="38" t="s">
        <v>275</v>
      </c>
      <c r="D188" s="38" t="s">
        <v>277</v>
      </c>
      <c r="E188" s="38">
        <v>2</v>
      </c>
      <c r="F188" s="38">
        <v>500</v>
      </c>
      <c r="G188" s="38">
        <v>24</v>
      </c>
      <c r="H188" s="38">
        <v>1</v>
      </c>
      <c r="I188" s="38" t="s">
        <v>98</v>
      </c>
      <c r="J188" s="38">
        <v>1.5</v>
      </c>
      <c r="K188" s="38">
        <f t="shared" si="16"/>
        <v>24000</v>
      </c>
      <c r="L188" s="38">
        <f t="shared" si="17"/>
        <v>24</v>
      </c>
      <c r="M188" s="38">
        <f t="shared" si="18"/>
        <v>1000</v>
      </c>
      <c r="N188" s="38">
        <f t="shared" si="19"/>
        <v>1500</v>
      </c>
      <c r="O188" s="38"/>
    </row>
    <row r="189" spans="1:15">
      <c r="A189" s="38" t="s">
        <v>78</v>
      </c>
      <c r="B189" s="38" t="s">
        <v>274</v>
      </c>
      <c r="C189" s="38" t="s">
        <v>275</v>
      </c>
      <c r="D189" s="38" t="s">
        <v>278</v>
      </c>
      <c r="E189" s="38">
        <v>1</v>
      </c>
      <c r="F189" s="38">
        <v>300</v>
      </c>
      <c r="G189" s="38">
        <v>24</v>
      </c>
      <c r="H189" s="38">
        <v>1</v>
      </c>
      <c r="I189" s="38" t="s">
        <v>98</v>
      </c>
      <c r="J189" s="38">
        <v>1</v>
      </c>
      <c r="K189" s="38">
        <f t="shared" si="16"/>
        <v>7200</v>
      </c>
      <c r="L189" s="38">
        <f t="shared" si="17"/>
        <v>7.2</v>
      </c>
      <c r="M189" s="38">
        <f t="shared" si="18"/>
        <v>300</v>
      </c>
      <c r="N189" s="38">
        <f t="shared" si="19"/>
        <v>300</v>
      </c>
      <c r="O189" s="38"/>
    </row>
    <row r="190" spans="1:15">
      <c r="A190" s="38" t="s">
        <v>78</v>
      </c>
      <c r="B190" s="38" t="s">
        <v>274</v>
      </c>
      <c r="C190" s="38" t="s">
        <v>275</v>
      </c>
      <c r="D190" s="38" t="s">
        <v>279</v>
      </c>
      <c r="E190" s="38">
        <v>1</v>
      </c>
      <c r="F190" s="38">
        <v>150</v>
      </c>
      <c r="G190" s="38">
        <v>24</v>
      </c>
      <c r="H190" s="38">
        <v>1</v>
      </c>
      <c r="I190" s="38" t="s">
        <v>98</v>
      </c>
      <c r="J190" s="38">
        <v>1</v>
      </c>
      <c r="K190" s="38">
        <f t="shared" si="16"/>
        <v>3600</v>
      </c>
      <c r="L190" s="38">
        <f t="shared" si="17"/>
        <v>3.6</v>
      </c>
      <c r="M190" s="38">
        <f t="shared" si="18"/>
        <v>150</v>
      </c>
      <c r="N190" s="38">
        <f t="shared" si="19"/>
        <v>150</v>
      </c>
      <c r="O190" s="38"/>
    </row>
    <row r="191" spans="1:15">
      <c r="A191" s="38" t="s">
        <v>78</v>
      </c>
      <c r="B191" s="38" t="s">
        <v>274</v>
      </c>
      <c r="C191" s="38" t="s">
        <v>275</v>
      </c>
      <c r="D191" s="38" t="s">
        <v>227</v>
      </c>
      <c r="E191" s="38">
        <v>2</v>
      </c>
      <c r="F191" s="38">
        <v>1800</v>
      </c>
      <c r="G191" s="38">
        <v>12</v>
      </c>
      <c r="H191" s="38">
        <v>0.6</v>
      </c>
      <c r="I191" s="38" t="s">
        <v>98</v>
      </c>
      <c r="J191" s="38">
        <v>3.5</v>
      </c>
      <c r="K191" s="38">
        <f t="shared" si="16"/>
        <v>25920</v>
      </c>
      <c r="L191" s="38">
        <f t="shared" si="17"/>
        <v>25.92</v>
      </c>
      <c r="M191" s="38">
        <f t="shared" si="18"/>
        <v>3600</v>
      </c>
      <c r="N191" s="38">
        <f t="shared" si="19"/>
        <v>12600</v>
      </c>
      <c r="O191" s="38"/>
    </row>
    <row r="192" spans="1:15">
      <c r="A192" s="38" t="s">
        <v>104</v>
      </c>
      <c r="B192" s="38" t="s">
        <v>105</v>
      </c>
      <c r="C192" s="38" t="s">
        <v>280</v>
      </c>
      <c r="D192" s="38" t="s">
        <v>281</v>
      </c>
      <c r="E192" s="38">
        <v>20</v>
      </c>
      <c r="F192" s="38">
        <v>100</v>
      </c>
      <c r="G192" s="38">
        <v>10</v>
      </c>
      <c r="H192" s="38">
        <v>1</v>
      </c>
      <c r="I192" s="38" t="s">
        <v>98</v>
      </c>
      <c r="J192" s="38">
        <v>1</v>
      </c>
      <c r="K192" s="38">
        <f t="shared" si="16"/>
        <v>20000</v>
      </c>
      <c r="L192" s="38">
        <f t="shared" si="17"/>
        <v>20</v>
      </c>
      <c r="M192" s="38">
        <f t="shared" si="18"/>
        <v>2000</v>
      </c>
      <c r="N192" s="38">
        <f t="shared" si="19"/>
        <v>2000</v>
      </c>
      <c r="O192" s="38"/>
    </row>
    <row r="193" spans="1:15">
      <c r="A193" s="38" t="s">
        <v>104</v>
      </c>
      <c r="B193" s="38" t="s">
        <v>105</v>
      </c>
      <c r="C193" s="38" t="s">
        <v>280</v>
      </c>
      <c r="D193" s="38" t="s">
        <v>282</v>
      </c>
      <c r="E193" s="38">
        <v>10</v>
      </c>
      <c r="F193" s="38">
        <v>10</v>
      </c>
      <c r="G193" s="38">
        <v>8</v>
      </c>
      <c r="H193" s="38">
        <v>1</v>
      </c>
      <c r="I193" s="38" t="s">
        <v>98</v>
      </c>
      <c r="J193" s="38">
        <v>1</v>
      </c>
      <c r="K193" s="38">
        <f t="shared" si="16"/>
        <v>800</v>
      </c>
      <c r="L193" s="38">
        <f t="shared" si="17"/>
        <v>0.8</v>
      </c>
      <c r="M193" s="38">
        <f t="shared" si="18"/>
        <v>100</v>
      </c>
      <c r="N193" s="38">
        <f t="shared" si="19"/>
        <v>100</v>
      </c>
      <c r="O193" s="38"/>
    </row>
    <row r="194" spans="1:15">
      <c r="A194" s="38" t="s">
        <v>104</v>
      </c>
      <c r="B194" s="38" t="s">
        <v>105</v>
      </c>
      <c r="C194" s="38" t="s">
        <v>280</v>
      </c>
      <c r="D194" s="38" t="s">
        <v>283</v>
      </c>
      <c r="E194" s="38">
        <v>4</v>
      </c>
      <c r="F194" s="38">
        <v>120</v>
      </c>
      <c r="G194" s="38">
        <v>8</v>
      </c>
      <c r="H194" s="38">
        <v>1</v>
      </c>
      <c r="I194" s="38" t="s">
        <v>98</v>
      </c>
      <c r="J194" s="38">
        <v>1.2</v>
      </c>
      <c r="K194" s="38">
        <f t="shared" si="16"/>
        <v>3840</v>
      </c>
      <c r="L194" s="38">
        <f t="shared" si="17"/>
        <v>3.84</v>
      </c>
      <c r="M194" s="38">
        <f t="shared" si="18"/>
        <v>480</v>
      </c>
      <c r="N194" s="38">
        <f t="shared" si="19"/>
        <v>576</v>
      </c>
      <c r="O194" s="38"/>
    </row>
    <row r="195" spans="1:15">
      <c r="A195" s="38" t="s">
        <v>104</v>
      </c>
      <c r="B195" s="38" t="s">
        <v>105</v>
      </c>
      <c r="C195" s="38" t="s">
        <v>280</v>
      </c>
      <c r="D195" s="38" t="s">
        <v>205</v>
      </c>
      <c r="E195" s="38">
        <v>1</v>
      </c>
      <c r="F195" s="38">
        <v>150</v>
      </c>
      <c r="G195" s="38">
        <v>24</v>
      </c>
      <c r="H195" s="38">
        <v>1</v>
      </c>
      <c r="I195" s="38" t="s">
        <v>98</v>
      </c>
      <c r="J195" s="38">
        <v>1</v>
      </c>
      <c r="K195" s="38">
        <f t="shared" si="16"/>
        <v>3600</v>
      </c>
      <c r="L195" s="38">
        <f t="shared" si="17"/>
        <v>3.6</v>
      </c>
      <c r="M195" s="38">
        <f t="shared" si="18"/>
        <v>150</v>
      </c>
      <c r="N195" s="38">
        <f t="shared" si="19"/>
        <v>150</v>
      </c>
      <c r="O195" s="38"/>
    </row>
    <row r="196" spans="1:15">
      <c r="A196" s="38" t="s">
        <v>104</v>
      </c>
      <c r="B196" s="38" t="s">
        <v>105</v>
      </c>
      <c r="C196" s="38" t="s">
        <v>280</v>
      </c>
      <c r="D196" s="38" t="s">
        <v>284</v>
      </c>
      <c r="E196" s="38">
        <v>4</v>
      </c>
      <c r="F196" s="38">
        <v>250</v>
      </c>
      <c r="G196" s="38">
        <v>8</v>
      </c>
      <c r="H196" s="38">
        <v>1</v>
      </c>
      <c r="I196" s="38" t="s">
        <v>157</v>
      </c>
      <c r="J196" s="38">
        <v>1.5</v>
      </c>
      <c r="K196" s="38">
        <f t="shared" si="16"/>
        <v>8000</v>
      </c>
      <c r="L196" s="38">
        <f t="shared" si="17"/>
        <v>8</v>
      </c>
      <c r="M196" s="38">
        <f t="shared" si="18"/>
        <v>1000</v>
      </c>
      <c r="N196" s="38">
        <f t="shared" si="19"/>
        <v>1500</v>
      </c>
      <c r="O196" s="38"/>
    </row>
    <row r="197" spans="1:15">
      <c r="A197" s="38" t="s">
        <v>104</v>
      </c>
      <c r="B197" s="38" t="s">
        <v>105</v>
      </c>
      <c r="C197" s="38" t="s">
        <v>280</v>
      </c>
      <c r="D197" s="38" t="s">
        <v>285</v>
      </c>
      <c r="E197" s="38">
        <v>1</v>
      </c>
      <c r="F197" s="38">
        <v>750</v>
      </c>
      <c r="G197" s="38">
        <v>0.5</v>
      </c>
      <c r="H197" s="38">
        <v>1</v>
      </c>
      <c r="I197" s="38" t="s">
        <v>157</v>
      </c>
      <c r="J197" s="38">
        <v>3</v>
      </c>
      <c r="K197" s="38">
        <f t="shared" si="16"/>
        <v>375</v>
      </c>
      <c r="L197" s="38">
        <f t="shared" si="17"/>
        <v>0.375</v>
      </c>
      <c r="M197" s="38">
        <f t="shared" si="18"/>
        <v>750</v>
      </c>
      <c r="N197" s="38">
        <f t="shared" si="19"/>
        <v>2250</v>
      </c>
      <c r="O197" s="38"/>
    </row>
    <row r="198" spans="1:15">
      <c r="A198" s="38" t="s">
        <v>104</v>
      </c>
      <c r="B198" s="38" t="s">
        <v>286</v>
      </c>
      <c r="C198" s="38" t="s">
        <v>287</v>
      </c>
      <c r="D198" s="38" t="s">
        <v>288</v>
      </c>
      <c r="E198" s="38">
        <v>1</v>
      </c>
      <c r="F198" s="38">
        <v>5000</v>
      </c>
      <c r="G198" s="38">
        <v>24</v>
      </c>
      <c r="H198" s="38">
        <v>0.6</v>
      </c>
      <c r="I198" s="38" t="s">
        <v>98</v>
      </c>
      <c r="J198" s="38">
        <v>3</v>
      </c>
      <c r="K198" s="38">
        <f t="shared" si="16"/>
        <v>72000</v>
      </c>
      <c r="L198" s="38">
        <f t="shared" si="17"/>
        <v>72</v>
      </c>
      <c r="M198" s="38">
        <f t="shared" si="18"/>
        <v>5000</v>
      </c>
      <c r="N198" s="38">
        <f t="shared" si="19"/>
        <v>15000</v>
      </c>
      <c r="O198" s="38"/>
    </row>
    <row r="199" spans="1:15">
      <c r="A199" s="38" t="s">
        <v>104</v>
      </c>
      <c r="B199" s="38" t="s">
        <v>286</v>
      </c>
      <c r="C199" s="38" t="s">
        <v>287</v>
      </c>
      <c r="D199" s="38" t="s">
        <v>289</v>
      </c>
      <c r="E199" s="38">
        <v>4</v>
      </c>
      <c r="F199" s="38">
        <v>250</v>
      </c>
      <c r="G199" s="38">
        <v>24</v>
      </c>
      <c r="H199" s="38">
        <v>1</v>
      </c>
      <c r="I199" s="38" t="s">
        <v>98</v>
      </c>
      <c r="J199" s="38">
        <v>1.5</v>
      </c>
      <c r="K199" s="38">
        <f t="shared" si="16"/>
        <v>24000</v>
      </c>
      <c r="L199" s="38">
        <f t="shared" si="17"/>
        <v>24</v>
      </c>
      <c r="M199" s="38">
        <f t="shared" si="18"/>
        <v>1000</v>
      </c>
      <c r="N199" s="38">
        <f t="shared" si="19"/>
        <v>1500</v>
      </c>
      <c r="O199" s="38"/>
    </row>
    <row r="200" spans="1:15">
      <c r="A200" s="38" t="s">
        <v>104</v>
      </c>
      <c r="B200" s="38" t="s">
        <v>286</v>
      </c>
      <c r="C200" s="38" t="s">
        <v>287</v>
      </c>
      <c r="D200" s="38" t="s">
        <v>290</v>
      </c>
      <c r="E200" s="38">
        <v>4</v>
      </c>
      <c r="F200" s="38">
        <v>50</v>
      </c>
      <c r="G200" s="38">
        <v>6</v>
      </c>
      <c r="H200" s="38">
        <v>1</v>
      </c>
      <c r="I200" s="38" t="s">
        <v>98</v>
      </c>
      <c r="J200" s="38">
        <v>1</v>
      </c>
      <c r="K200" s="38">
        <f t="shared" si="16"/>
        <v>1200</v>
      </c>
      <c r="L200" s="38">
        <f t="shared" si="17"/>
        <v>1.2</v>
      </c>
      <c r="M200" s="38">
        <f t="shared" si="18"/>
        <v>200</v>
      </c>
      <c r="N200" s="38">
        <f t="shared" si="19"/>
        <v>200</v>
      </c>
      <c r="O200" s="38"/>
    </row>
    <row r="201" spans="1:15">
      <c r="A201" s="38" t="s">
        <v>104</v>
      </c>
      <c r="B201" s="38" t="s">
        <v>286</v>
      </c>
      <c r="C201" s="38" t="s">
        <v>287</v>
      </c>
      <c r="D201" s="38" t="s">
        <v>291</v>
      </c>
      <c r="E201" s="38">
        <v>1</v>
      </c>
      <c r="F201" s="38">
        <v>300</v>
      </c>
      <c r="G201" s="38">
        <v>24</v>
      </c>
      <c r="H201" s="38">
        <v>1</v>
      </c>
      <c r="I201" s="38" t="s">
        <v>98</v>
      </c>
      <c r="J201" s="38">
        <v>1.2</v>
      </c>
      <c r="K201" s="38">
        <f t="shared" si="16"/>
        <v>7200</v>
      </c>
      <c r="L201" s="38">
        <f t="shared" si="17"/>
        <v>7.2</v>
      </c>
      <c r="M201" s="38">
        <f t="shared" si="18"/>
        <v>300</v>
      </c>
      <c r="N201" s="38">
        <f t="shared" si="19"/>
        <v>360</v>
      </c>
      <c r="O201" s="38"/>
    </row>
    <row r="202" spans="1:15">
      <c r="A202" s="38" t="s">
        <v>104</v>
      </c>
      <c r="B202" s="38" t="s">
        <v>286</v>
      </c>
      <c r="C202" s="38" t="s">
        <v>287</v>
      </c>
      <c r="D202" s="38" t="s">
        <v>205</v>
      </c>
      <c r="E202" s="38">
        <v>1</v>
      </c>
      <c r="F202" s="38">
        <v>100</v>
      </c>
      <c r="G202" s="38">
        <v>24</v>
      </c>
      <c r="H202" s="38">
        <v>1</v>
      </c>
      <c r="I202" s="38" t="s">
        <v>98</v>
      </c>
      <c r="J202" s="38">
        <v>1</v>
      </c>
      <c r="K202" s="38">
        <f t="shared" si="16"/>
        <v>2400</v>
      </c>
      <c r="L202" s="38">
        <f t="shared" si="17"/>
        <v>2.4</v>
      </c>
      <c r="M202" s="38">
        <f t="shared" si="18"/>
        <v>100</v>
      </c>
      <c r="N202" s="38">
        <f t="shared" si="19"/>
        <v>100</v>
      </c>
      <c r="O202" s="38"/>
    </row>
    <row r="203" spans="1:15">
      <c r="A203" s="38" t="s">
        <v>104</v>
      </c>
      <c r="B203" s="38" t="s">
        <v>292</v>
      </c>
      <c r="C203" s="38" t="s">
        <v>265</v>
      </c>
      <c r="D203" s="38" t="s">
        <v>293</v>
      </c>
      <c r="E203" s="38">
        <v>30</v>
      </c>
      <c r="F203" s="38">
        <v>80</v>
      </c>
      <c r="G203" s="38">
        <v>10</v>
      </c>
      <c r="H203" s="38">
        <v>1</v>
      </c>
      <c r="I203" s="38" t="s">
        <v>98</v>
      </c>
      <c r="J203" s="38">
        <v>1</v>
      </c>
      <c r="K203" s="38">
        <f t="shared" si="16"/>
        <v>24000</v>
      </c>
      <c r="L203" s="38">
        <f t="shared" si="17"/>
        <v>24</v>
      </c>
      <c r="M203" s="38">
        <f t="shared" si="18"/>
        <v>2400</v>
      </c>
      <c r="N203" s="38">
        <f t="shared" si="19"/>
        <v>2400</v>
      </c>
      <c r="O203" s="38"/>
    </row>
    <row r="204" spans="1:15">
      <c r="A204" s="38" t="s">
        <v>104</v>
      </c>
      <c r="B204" s="38" t="s">
        <v>292</v>
      </c>
      <c r="C204" s="38" t="s">
        <v>265</v>
      </c>
      <c r="D204" s="38" t="s">
        <v>283</v>
      </c>
      <c r="E204" s="38">
        <v>5</v>
      </c>
      <c r="F204" s="38">
        <v>120</v>
      </c>
      <c r="G204" s="38">
        <v>8</v>
      </c>
      <c r="H204" s="38">
        <v>1</v>
      </c>
      <c r="I204" s="38" t="s">
        <v>98</v>
      </c>
      <c r="J204" s="38">
        <v>1.2</v>
      </c>
      <c r="K204" s="38">
        <f t="shared" si="16"/>
        <v>4800</v>
      </c>
      <c r="L204" s="38">
        <f t="shared" si="17"/>
        <v>4.8</v>
      </c>
      <c r="M204" s="38">
        <f t="shared" si="18"/>
        <v>600</v>
      </c>
      <c r="N204" s="38">
        <f t="shared" si="19"/>
        <v>720</v>
      </c>
      <c r="O204" s="38"/>
    </row>
    <row r="205" spans="1:15">
      <c r="A205" s="38" t="s">
        <v>104</v>
      </c>
      <c r="B205" s="38" t="s">
        <v>292</v>
      </c>
      <c r="C205" s="38" t="s">
        <v>265</v>
      </c>
      <c r="D205" s="38" t="s">
        <v>294</v>
      </c>
      <c r="E205" s="38">
        <v>3</v>
      </c>
      <c r="F205" s="38">
        <v>1500</v>
      </c>
      <c r="G205" s="38">
        <v>6</v>
      </c>
      <c r="H205" s="38">
        <v>1</v>
      </c>
      <c r="I205" s="38" t="s">
        <v>98</v>
      </c>
      <c r="J205" s="38">
        <v>3</v>
      </c>
      <c r="K205" s="38">
        <f t="shared" si="16"/>
        <v>27000</v>
      </c>
      <c r="L205" s="38">
        <f t="shared" si="17"/>
        <v>27</v>
      </c>
      <c r="M205" s="38">
        <f t="shared" si="18"/>
        <v>4500</v>
      </c>
      <c r="N205" s="38">
        <f t="shared" si="19"/>
        <v>13500</v>
      </c>
      <c r="O205" s="38"/>
    </row>
    <row r="206" spans="1:15">
      <c r="A206" s="38" t="s">
        <v>104</v>
      </c>
      <c r="B206" s="38" t="s">
        <v>292</v>
      </c>
      <c r="C206" s="38" t="s">
        <v>265</v>
      </c>
      <c r="D206" s="38" t="s">
        <v>295</v>
      </c>
      <c r="E206" s="38">
        <v>1</v>
      </c>
      <c r="F206" s="38">
        <v>3000</v>
      </c>
      <c r="G206" s="38">
        <v>4</v>
      </c>
      <c r="H206" s="38">
        <v>0.6</v>
      </c>
      <c r="I206" s="38" t="s">
        <v>157</v>
      </c>
      <c r="J206" s="38">
        <v>3</v>
      </c>
      <c r="K206" s="38">
        <f t="shared" si="16"/>
        <v>7200</v>
      </c>
      <c r="L206" s="38">
        <f t="shared" si="17"/>
        <v>7.2</v>
      </c>
      <c r="M206" s="38">
        <f t="shared" si="18"/>
        <v>3000</v>
      </c>
      <c r="N206" s="38">
        <f t="shared" si="19"/>
        <v>9000</v>
      </c>
      <c r="O206" s="38"/>
    </row>
    <row r="207" spans="1:15">
      <c r="A207" s="38" t="s">
        <v>104</v>
      </c>
      <c r="B207" s="38" t="s">
        <v>292</v>
      </c>
      <c r="C207" s="38" t="s">
        <v>265</v>
      </c>
      <c r="D207" s="38" t="s">
        <v>284</v>
      </c>
      <c r="E207" s="38">
        <v>4</v>
      </c>
      <c r="F207" s="38">
        <v>250</v>
      </c>
      <c r="G207" s="38">
        <v>10</v>
      </c>
      <c r="H207" s="38">
        <v>1</v>
      </c>
      <c r="I207" s="38" t="s">
        <v>98</v>
      </c>
      <c r="J207" s="38">
        <v>1.5</v>
      </c>
      <c r="K207" s="38">
        <f t="shared" si="16"/>
        <v>10000</v>
      </c>
      <c r="L207" s="38">
        <f t="shared" si="17"/>
        <v>10</v>
      </c>
      <c r="M207" s="38">
        <f t="shared" si="18"/>
        <v>1000</v>
      </c>
      <c r="N207" s="38">
        <f t="shared" si="19"/>
        <v>1500</v>
      </c>
      <c r="O207" s="38"/>
    </row>
    <row r="208" spans="1:15">
      <c r="A208" s="38" t="s">
        <v>104</v>
      </c>
      <c r="B208" s="38" t="s">
        <v>292</v>
      </c>
      <c r="C208" s="38" t="s">
        <v>265</v>
      </c>
      <c r="D208" s="38" t="s">
        <v>296</v>
      </c>
      <c r="E208" s="38">
        <v>1</v>
      </c>
      <c r="F208" s="38">
        <v>200</v>
      </c>
      <c r="G208" s="38">
        <v>24</v>
      </c>
      <c r="H208" s="38">
        <v>1</v>
      </c>
      <c r="I208" s="38" t="s">
        <v>98</v>
      </c>
      <c r="J208" s="38">
        <v>1</v>
      </c>
      <c r="K208" s="38">
        <f t="shared" si="16"/>
        <v>4800</v>
      </c>
      <c r="L208" s="38">
        <f t="shared" si="17"/>
        <v>4.8</v>
      </c>
      <c r="M208" s="38">
        <f t="shared" si="18"/>
        <v>200</v>
      </c>
      <c r="N208" s="38">
        <f t="shared" si="19"/>
        <v>200</v>
      </c>
      <c r="O208" s="38"/>
    </row>
    <row r="209" spans="1:15">
      <c r="A209" s="38" t="s">
        <v>104</v>
      </c>
      <c r="B209" s="38" t="s">
        <v>297</v>
      </c>
      <c r="C209" s="38" t="s">
        <v>298</v>
      </c>
      <c r="D209" s="38" t="s">
        <v>299</v>
      </c>
      <c r="E209" s="38">
        <v>12</v>
      </c>
      <c r="F209" s="38">
        <v>80</v>
      </c>
      <c r="G209" s="38">
        <v>8</v>
      </c>
      <c r="H209" s="38">
        <v>1</v>
      </c>
      <c r="I209" s="38" t="s">
        <v>98</v>
      </c>
      <c r="J209" s="38">
        <v>1</v>
      </c>
      <c r="K209" s="38">
        <f t="shared" si="16"/>
        <v>7680</v>
      </c>
      <c r="L209" s="38">
        <f t="shared" si="17"/>
        <v>7.68</v>
      </c>
      <c r="M209" s="38">
        <f t="shared" si="18"/>
        <v>960</v>
      </c>
      <c r="N209" s="38">
        <f t="shared" si="19"/>
        <v>960</v>
      </c>
      <c r="O209" s="38"/>
    </row>
    <row r="210" spans="1:15">
      <c r="A210" s="38" t="s">
        <v>104</v>
      </c>
      <c r="B210" s="38" t="s">
        <v>297</v>
      </c>
      <c r="C210" s="38" t="s">
        <v>298</v>
      </c>
      <c r="D210" s="38" t="s">
        <v>300</v>
      </c>
      <c r="E210" s="38">
        <v>3</v>
      </c>
      <c r="F210" s="38">
        <v>800</v>
      </c>
      <c r="G210" s="38">
        <v>2</v>
      </c>
      <c r="H210" s="38">
        <v>1</v>
      </c>
      <c r="I210" s="38" t="s">
        <v>157</v>
      </c>
      <c r="J210" s="38">
        <v>2</v>
      </c>
      <c r="K210" s="38">
        <f t="shared" si="16"/>
        <v>4800</v>
      </c>
      <c r="L210" s="38">
        <f t="shared" si="17"/>
        <v>4.8</v>
      </c>
      <c r="M210" s="38">
        <f t="shared" si="18"/>
        <v>2400</v>
      </c>
      <c r="N210" s="38">
        <f t="shared" si="19"/>
        <v>4800</v>
      </c>
      <c r="O210" s="38"/>
    </row>
    <row r="211" spans="1:15">
      <c r="A211" s="38" t="s">
        <v>104</v>
      </c>
      <c r="B211" s="38" t="s">
        <v>297</v>
      </c>
      <c r="C211" s="38" t="s">
        <v>298</v>
      </c>
      <c r="D211" s="38" t="s">
        <v>301</v>
      </c>
      <c r="E211" s="38">
        <v>2</v>
      </c>
      <c r="F211" s="38">
        <v>5000</v>
      </c>
      <c r="G211" s="38">
        <v>2</v>
      </c>
      <c r="H211" s="38">
        <v>0.4</v>
      </c>
      <c r="I211" s="38" t="s">
        <v>97</v>
      </c>
      <c r="J211" s="38">
        <v>2.5</v>
      </c>
      <c r="K211" s="38">
        <f t="shared" si="16"/>
        <v>8000</v>
      </c>
      <c r="L211" s="38">
        <f t="shared" si="17"/>
        <v>8</v>
      </c>
      <c r="M211" s="38">
        <f t="shared" si="18"/>
        <v>10000</v>
      </c>
      <c r="N211" s="38">
        <f t="shared" si="19"/>
        <v>25000</v>
      </c>
      <c r="O211" s="38"/>
    </row>
    <row r="212" spans="1:15">
      <c r="A212" s="38" t="s">
        <v>104</v>
      </c>
      <c r="B212" s="38" t="s">
        <v>297</v>
      </c>
      <c r="C212" s="38" t="s">
        <v>298</v>
      </c>
      <c r="D212" s="38" t="s">
        <v>284</v>
      </c>
      <c r="E212" s="38">
        <v>2</v>
      </c>
      <c r="F212" s="38">
        <v>250</v>
      </c>
      <c r="G212" s="38">
        <v>8</v>
      </c>
      <c r="H212" s="38">
        <v>1</v>
      </c>
      <c r="I212" s="38" t="s">
        <v>157</v>
      </c>
      <c r="J212" s="38">
        <v>1.5</v>
      </c>
      <c r="K212" s="38">
        <f t="shared" si="16"/>
        <v>4000</v>
      </c>
      <c r="L212" s="38">
        <f t="shared" si="17"/>
        <v>4</v>
      </c>
      <c r="M212" s="38">
        <f t="shared" si="18"/>
        <v>500</v>
      </c>
      <c r="N212" s="38">
        <f t="shared" si="19"/>
        <v>750</v>
      </c>
      <c r="O212" s="38"/>
    </row>
    <row r="213" spans="1:15">
      <c r="A213" s="38" t="s">
        <v>104</v>
      </c>
      <c r="B213" s="38" t="s">
        <v>297</v>
      </c>
      <c r="C213" s="38" t="s">
        <v>298</v>
      </c>
      <c r="D213" s="38" t="s">
        <v>302</v>
      </c>
      <c r="E213" s="38">
        <v>1</v>
      </c>
      <c r="F213" s="38">
        <v>200</v>
      </c>
      <c r="G213" s="38">
        <v>8</v>
      </c>
      <c r="H213" s="38">
        <v>1</v>
      </c>
      <c r="I213" s="38" t="s">
        <v>157</v>
      </c>
      <c r="J213" s="38">
        <v>1.2</v>
      </c>
      <c r="K213" s="38">
        <f t="shared" si="16"/>
        <v>1600</v>
      </c>
      <c r="L213" s="38">
        <f t="shared" si="17"/>
        <v>1.6</v>
      </c>
      <c r="M213" s="38">
        <f t="shared" si="18"/>
        <v>200</v>
      </c>
      <c r="N213" s="38">
        <f t="shared" si="19"/>
        <v>240</v>
      </c>
      <c r="O213" s="38"/>
    </row>
    <row r="214" spans="1:15">
      <c r="A214" s="38" t="s">
        <v>104</v>
      </c>
      <c r="B214" s="38" t="s">
        <v>303</v>
      </c>
      <c r="C214" s="38" t="s">
        <v>304</v>
      </c>
      <c r="D214" s="38" t="s">
        <v>305</v>
      </c>
      <c r="E214" s="38">
        <v>40</v>
      </c>
      <c r="F214" s="38">
        <v>15</v>
      </c>
      <c r="G214" s="38">
        <v>12</v>
      </c>
      <c r="H214" s="38">
        <v>1</v>
      </c>
      <c r="I214" s="38" t="s">
        <v>98</v>
      </c>
      <c r="J214" s="38">
        <v>1</v>
      </c>
      <c r="K214" s="38">
        <f t="shared" si="16"/>
        <v>7200</v>
      </c>
      <c r="L214" s="38">
        <f t="shared" si="17"/>
        <v>7.2</v>
      </c>
      <c r="M214" s="38">
        <f t="shared" si="18"/>
        <v>600</v>
      </c>
      <c r="N214" s="38">
        <f t="shared" si="19"/>
        <v>600</v>
      </c>
      <c r="O214" s="38"/>
    </row>
    <row r="215" spans="1:15">
      <c r="A215" s="38" t="s">
        <v>104</v>
      </c>
      <c r="B215" s="38" t="s">
        <v>303</v>
      </c>
      <c r="C215" s="38" t="s">
        <v>304</v>
      </c>
      <c r="D215" s="38" t="s">
        <v>284</v>
      </c>
      <c r="E215" s="38">
        <v>8</v>
      </c>
      <c r="F215" s="38">
        <v>250</v>
      </c>
      <c r="G215" s="38">
        <v>10</v>
      </c>
      <c r="H215" s="38">
        <v>1</v>
      </c>
      <c r="I215" s="38" t="s">
        <v>98</v>
      </c>
      <c r="J215" s="38">
        <v>1.5</v>
      </c>
      <c r="K215" s="38">
        <f t="shared" si="16"/>
        <v>20000</v>
      </c>
      <c r="L215" s="38">
        <f t="shared" si="17"/>
        <v>20</v>
      </c>
      <c r="M215" s="38">
        <f t="shared" si="18"/>
        <v>2000</v>
      </c>
      <c r="N215" s="38">
        <f t="shared" si="19"/>
        <v>3000</v>
      </c>
      <c r="O215" s="38"/>
    </row>
    <row r="216" spans="1:15">
      <c r="A216" s="38" t="s">
        <v>104</v>
      </c>
      <c r="B216" s="38" t="s">
        <v>303</v>
      </c>
      <c r="C216" s="38" t="s">
        <v>304</v>
      </c>
      <c r="D216" s="38" t="s">
        <v>99</v>
      </c>
      <c r="E216" s="38">
        <v>1</v>
      </c>
      <c r="F216" s="38">
        <v>1100</v>
      </c>
      <c r="G216" s="38">
        <v>2</v>
      </c>
      <c r="H216" s="38">
        <v>1</v>
      </c>
      <c r="I216" s="38" t="s">
        <v>98</v>
      </c>
      <c r="J216" s="38">
        <v>3</v>
      </c>
      <c r="K216" s="38">
        <f t="shared" si="16"/>
        <v>2200</v>
      </c>
      <c r="L216" s="38">
        <f t="shared" si="17"/>
        <v>2.2000000000000002</v>
      </c>
      <c r="M216" s="38">
        <f t="shared" si="18"/>
        <v>1100</v>
      </c>
      <c r="N216" s="38">
        <f t="shared" si="19"/>
        <v>3300</v>
      </c>
      <c r="O216" s="38"/>
    </row>
    <row r="217" spans="1:15">
      <c r="A217" s="38" t="s">
        <v>104</v>
      </c>
      <c r="B217" s="38" t="s">
        <v>303</v>
      </c>
      <c r="C217" s="38" t="s">
        <v>304</v>
      </c>
      <c r="D217" s="38" t="s">
        <v>306</v>
      </c>
      <c r="E217" s="38">
        <v>1</v>
      </c>
      <c r="F217" s="38">
        <v>1500</v>
      </c>
      <c r="G217" s="38">
        <v>1</v>
      </c>
      <c r="H217" s="38">
        <v>1</v>
      </c>
      <c r="I217" s="38" t="s">
        <v>157</v>
      </c>
      <c r="J217" s="38">
        <v>2</v>
      </c>
      <c r="K217" s="38">
        <f t="shared" si="16"/>
        <v>1500</v>
      </c>
      <c r="L217" s="38">
        <f t="shared" si="17"/>
        <v>1.5</v>
      </c>
      <c r="M217" s="38">
        <f t="shared" si="18"/>
        <v>1500</v>
      </c>
      <c r="N217" s="38">
        <f t="shared" si="19"/>
        <v>3000</v>
      </c>
      <c r="O217" s="38"/>
    </row>
    <row r="218" spans="1:15">
      <c r="A218" s="38" t="s">
        <v>104</v>
      </c>
      <c r="B218" s="38" t="s">
        <v>303</v>
      </c>
      <c r="C218" s="38" t="s">
        <v>304</v>
      </c>
      <c r="D218" s="38" t="s">
        <v>175</v>
      </c>
      <c r="E218" s="38">
        <v>8</v>
      </c>
      <c r="F218" s="38">
        <v>20</v>
      </c>
      <c r="G218" s="38">
        <v>12</v>
      </c>
      <c r="H218" s="38">
        <v>1</v>
      </c>
      <c r="I218" s="38" t="s">
        <v>98</v>
      </c>
      <c r="J218" s="38">
        <v>1</v>
      </c>
      <c r="K218" s="38">
        <f t="shared" si="16"/>
        <v>1920</v>
      </c>
      <c r="L218" s="38">
        <f t="shared" si="17"/>
        <v>1.92</v>
      </c>
      <c r="M218" s="38">
        <f t="shared" si="18"/>
        <v>160</v>
      </c>
      <c r="N218" s="38">
        <f t="shared" si="19"/>
        <v>160</v>
      </c>
      <c r="O218" s="38"/>
    </row>
    <row r="219" spans="1:15">
      <c r="A219" s="38" t="s">
        <v>104</v>
      </c>
      <c r="B219" s="38" t="s">
        <v>303</v>
      </c>
      <c r="C219" s="38" t="s">
        <v>304</v>
      </c>
      <c r="D219" s="38" t="s">
        <v>307</v>
      </c>
      <c r="E219" s="38">
        <v>1</v>
      </c>
      <c r="F219" s="38">
        <v>100</v>
      </c>
      <c r="G219" s="38">
        <v>12</v>
      </c>
      <c r="H219" s="38">
        <v>1</v>
      </c>
      <c r="I219" s="38" t="s">
        <v>157</v>
      </c>
      <c r="J219" s="38">
        <v>1</v>
      </c>
      <c r="K219" s="38">
        <f t="shared" si="16"/>
        <v>1200</v>
      </c>
      <c r="L219" s="38">
        <f t="shared" si="17"/>
        <v>1.2</v>
      </c>
      <c r="M219" s="38">
        <f t="shared" si="18"/>
        <v>100</v>
      </c>
      <c r="N219" s="38">
        <f t="shared" si="19"/>
        <v>100</v>
      </c>
      <c r="O219" s="38"/>
    </row>
    <row r="220" spans="1:15">
      <c r="A220" s="38" t="s">
        <v>104</v>
      </c>
      <c r="B220" s="38" t="s">
        <v>308</v>
      </c>
      <c r="C220" s="38" t="s">
        <v>304</v>
      </c>
      <c r="D220" s="38" t="s">
        <v>309</v>
      </c>
      <c r="E220" s="38">
        <v>1</v>
      </c>
      <c r="F220" s="38">
        <v>3000</v>
      </c>
      <c r="G220" s="38">
        <v>4</v>
      </c>
      <c r="H220" s="38">
        <v>1</v>
      </c>
      <c r="I220" s="38" t="s">
        <v>98</v>
      </c>
      <c r="J220" s="38">
        <v>3</v>
      </c>
      <c r="K220" s="38">
        <f t="shared" si="16"/>
        <v>12000</v>
      </c>
      <c r="L220" s="38">
        <f t="shared" si="17"/>
        <v>12</v>
      </c>
      <c r="M220" s="38">
        <f t="shared" si="18"/>
        <v>3000</v>
      </c>
      <c r="N220" s="38">
        <f t="shared" si="19"/>
        <v>9000</v>
      </c>
      <c r="O220" s="38"/>
    </row>
    <row r="221" spans="1:15">
      <c r="A221" s="38" t="s">
        <v>104</v>
      </c>
      <c r="B221" s="38" t="s">
        <v>308</v>
      </c>
      <c r="C221" s="38" t="s">
        <v>304</v>
      </c>
      <c r="D221" s="38" t="s">
        <v>310</v>
      </c>
      <c r="E221" s="38">
        <v>1</v>
      </c>
      <c r="F221" s="38">
        <v>150</v>
      </c>
      <c r="G221" s="38">
        <v>6</v>
      </c>
      <c r="H221" s="38">
        <v>1</v>
      </c>
      <c r="I221" s="38" t="s">
        <v>98</v>
      </c>
      <c r="J221" s="38">
        <v>1.2</v>
      </c>
      <c r="K221" s="38">
        <f t="shared" ref="K221:K284" si="20">E221*F221*G221*H221</f>
        <v>900</v>
      </c>
      <c r="L221" s="38">
        <f t="shared" ref="L221:L284" si="21">K221/1000</f>
        <v>0.9</v>
      </c>
      <c r="M221" s="38">
        <f t="shared" ref="M221:M284" si="22">E221*F221</f>
        <v>150</v>
      </c>
      <c r="N221" s="38">
        <f t="shared" ref="N221:N284" si="23">M221*J221</f>
        <v>180</v>
      </c>
      <c r="O221" s="38"/>
    </row>
    <row r="222" spans="1:15">
      <c r="A222" s="38" t="s">
        <v>104</v>
      </c>
      <c r="B222" s="38" t="s">
        <v>308</v>
      </c>
      <c r="C222" s="38" t="s">
        <v>304</v>
      </c>
      <c r="D222" s="38" t="s">
        <v>175</v>
      </c>
      <c r="E222" s="38">
        <v>4</v>
      </c>
      <c r="F222" s="38">
        <v>20</v>
      </c>
      <c r="G222" s="38">
        <v>12</v>
      </c>
      <c r="H222" s="38">
        <v>1</v>
      </c>
      <c r="I222" s="38" t="s">
        <v>157</v>
      </c>
      <c r="J222" s="38">
        <v>1</v>
      </c>
      <c r="K222" s="38">
        <f t="shared" si="20"/>
        <v>960</v>
      </c>
      <c r="L222" s="38">
        <f t="shared" si="21"/>
        <v>0.96</v>
      </c>
      <c r="M222" s="38">
        <f t="shared" si="22"/>
        <v>80</v>
      </c>
      <c r="N222" s="38">
        <f t="shared" si="23"/>
        <v>80</v>
      </c>
      <c r="O222" s="38"/>
    </row>
    <row r="223" spans="1:15">
      <c r="A223" s="38" t="s">
        <v>104</v>
      </c>
      <c r="B223" s="38" t="s">
        <v>308</v>
      </c>
      <c r="C223" s="38" t="s">
        <v>304</v>
      </c>
      <c r="D223" s="38" t="s">
        <v>311</v>
      </c>
      <c r="E223" s="38">
        <v>1</v>
      </c>
      <c r="F223" s="38">
        <v>150</v>
      </c>
      <c r="G223" s="38">
        <v>8</v>
      </c>
      <c r="H223" s="38">
        <v>1</v>
      </c>
      <c r="I223" s="38" t="s">
        <v>157</v>
      </c>
      <c r="J223" s="38">
        <v>1.2</v>
      </c>
      <c r="K223" s="38">
        <f t="shared" si="20"/>
        <v>1200</v>
      </c>
      <c r="L223" s="38">
        <f t="shared" si="21"/>
        <v>1.2</v>
      </c>
      <c r="M223" s="38">
        <f t="shared" si="22"/>
        <v>150</v>
      </c>
      <c r="N223" s="38">
        <f t="shared" si="23"/>
        <v>180</v>
      </c>
      <c r="O223" s="38"/>
    </row>
    <row r="224" spans="1:15">
      <c r="A224" s="38" t="s">
        <v>104</v>
      </c>
      <c r="B224" s="38" t="s">
        <v>312</v>
      </c>
      <c r="C224" s="38" t="s">
        <v>265</v>
      </c>
      <c r="D224" s="38" t="s">
        <v>313</v>
      </c>
      <c r="E224" s="38">
        <v>20</v>
      </c>
      <c r="F224" s="38">
        <v>50</v>
      </c>
      <c r="G224" s="38">
        <v>10</v>
      </c>
      <c r="H224" s="38">
        <v>1</v>
      </c>
      <c r="I224" s="38" t="s">
        <v>98</v>
      </c>
      <c r="J224" s="38">
        <v>1</v>
      </c>
      <c r="K224" s="38">
        <f t="shared" si="20"/>
        <v>10000</v>
      </c>
      <c r="L224" s="38">
        <f t="shared" si="21"/>
        <v>10</v>
      </c>
      <c r="M224" s="38">
        <f t="shared" si="22"/>
        <v>1000</v>
      </c>
      <c r="N224" s="38">
        <f t="shared" si="23"/>
        <v>1000</v>
      </c>
      <c r="O224" s="38"/>
    </row>
    <row r="225" spans="1:15">
      <c r="A225" s="38" t="s">
        <v>104</v>
      </c>
      <c r="B225" s="38" t="s">
        <v>312</v>
      </c>
      <c r="C225" s="38" t="s">
        <v>265</v>
      </c>
      <c r="D225" s="38" t="s">
        <v>314</v>
      </c>
      <c r="E225" s="38">
        <v>1</v>
      </c>
      <c r="F225" s="38">
        <v>7500</v>
      </c>
      <c r="G225" s="38">
        <v>3</v>
      </c>
      <c r="H225" s="38">
        <v>0.7</v>
      </c>
      <c r="I225" s="38" t="s">
        <v>98</v>
      </c>
      <c r="J225" s="38">
        <v>3</v>
      </c>
      <c r="K225" s="38">
        <f t="shared" si="20"/>
        <v>15749.999999999998</v>
      </c>
      <c r="L225" s="38">
        <f t="shared" si="21"/>
        <v>15.749999999999998</v>
      </c>
      <c r="M225" s="38">
        <f t="shared" si="22"/>
        <v>7500</v>
      </c>
      <c r="N225" s="38">
        <f t="shared" si="23"/>
        <v>22500</v>
      </c>
      <c r="O225" s="38"/>
    </row>
    <row r="226" spans="1:15">
      <c r="A226" s="38" t="s">
        <v>104</v>
      </c>
      <c r="B226" s="38" t="s">
        <v>312</v>
      </c>
      <c r="C226" s="38" t="s">
        <v>265</v>
      </c>
      <c r="D226" s="38" t="s">
        <v>315</v>
      </c>
      <c r="E226" s="38">
        <v>2</v>
      </c>
      <c r="F226" s="38">
        <v>500</v>
      </c>
      <c r="G226" s="38">
        <v>3</v>
      </c>
      <c r="H226" s="38">
        <v>1</v>
      </c>
      <c r="I226" s="38" t="s">
        <v>157</v>
      </c>
      <c r="J226" s="38">
        <v>1.5</v>
      </c>
      <c r="K226" s="38">
        <f t="shared" si="20"/>
        <v>3000</v>
      </c>
      <c r="L226" s="38">
        <f t="shared" si="21"/>
        <v>3</v>
      </c>
      <c r="M226" s="38">
        <f t="shared" si="22"/>
        <v>1000</v>
      </c>
      <c r="N226" s="38">
        <f t="shared" si="23"/>
        <v>1500</v>
      </c>
      <c r="O226" s="38"/>
    </row>
    <row r="227" spans="1:15">
      <c r="A227" s="38" t="s">
        <v>104</v>
      </c>
      <c r="B227" s="38" t="s">
        <v>312</v>
      </c>
      <c r="C227" s="38" t="s">
        <v>265</v>
      </c>
      <c r="D227" s="38" t="s">
        <v>284</v>
      </c>
      <c r="E227" s="38">
        <v>4</v>
      </c>
      <c r="F227" s="38">
        <v>250</v>
      </c>
      <c r="G227" s="38">
        <v>10</v>
      </c>
      <c r="H227" s="38">
        <v>1</v>
      </c>
      <c r="I227" s="38" t="s">
        <v>98</v>
      </c>
      <c r="J227" s="38">
        <v>1.5</v>
      </c>
      <c r="K227" s="38">
        <f t="shared" si="20"/>
        <v>10000</v>
      </c>
      <c r="L227" s="38">
        <f t="shared" si="21"/>
        <v>10</v>
      </c>
      <c r="M227" s="38">
        <f t="shared" si="22"/>
        <v>1000</v>
      </c>
      <c r="N227" s="38">
        <f t="shared" si="23"/>
        <v>1500</v>
      </c>
      <c r="O227" s="38"/>
    </row>
    <row r="228" spans="1:15">
      <c r="A228" s="38" t="s">
        <v>104</v>
      </c>
      <c r="B228" s="38" t="s">
        <v>312</v>
      </c>
      <c r="C228" s="38" t="s">
        <v>265</v>
      </c>
      <c r="D228" s="38" t="s">
        <v>302</v>
      </c>
      <c r="E228" s="38">
        <v>1</v>
      </c>
      <c r="F228" s="38">
        <v>250</v>
      </c>
      <c r="G228" s="38">
        <v>8</v>
      </c>
      <c r="H228" s="38">
        <v>1</v>
      </c>
      <c r="I228" s="38" t="s">
        <v>157</v>
      </c>
      <c r="J228" s="38">
        <v>1.2</v>
      </c>
      <c r="K228" s="38">
        <f t="shared" si="20"/>
        <v>2000</v>
      </c>
      <c r="L228" s="38">
        <f t="shared" si="21"/>
        <v>2</v>
      </c>
      <c r="M228" s="38">
        <f t="shared" si="22"/>
        <v>250</v>
      </c>
      <c r="N228" s="38">
        <f t="shared" si="23"/>
        <v>300</v>
      </c>
      <c r="O228" s="38"/>
    </row>
    <row r="229" spans="1:15">
      <c r="A229" s="38" t="s">
        <v>104</v>
      </c>
      <c r="B229" s="38" t="s">
        <v>316</v>
      </c>
      <c r="C229" s="38" t="s">
        <v>265</v>
      </c>
      <c r="D229" s="38" t="s">
        <v>293</v>
      </c>
      <c r="E229" s="38">
        <v>16</v>
      </c>
      <c r="F229" s="38">
        <v>50</v>
      </c>
      <c r="G229" s="38">
        <v>9</v>
      </c>
      <c r="H229" s="38">
        <v>1</v>
      </c>
      <c r="I229" s="38" t="s">
        <v>98</v>
      </c>
      <c r="J229" s="38">
        <v>1</v>
      </c>
      <c r="K229" s="38">
        <f t="shared" si="20"/>
        <v>7200</v>
      </c>
      <c r="L229" s="38">
        <f t="shared" si="21"/>
        <v>7.2</v>
      </c>
      <c r="M229" s="38">
        <f t="shared" si="22"/>
        <v>800</v>
      </c>
      <c r="N229" s="38">
        <f t="shared" si="23"/>
        <v>800</v>
      </c>
      <c r="O229" s="38"/>
    </row>
    <row r="230" spans="1:15">
      <c r="A230" s="38" t="s">
        <v>104</v>
      </c>
      <c r="B230" s="38" t="s">
        <v>316</v>
      </c>
      <c r="C230" s="38" t="s">
        <v>265</v>
      </c>
      <c r="D230" s="38" t="s">
        <v>317</v>
      </c>
      <c r="E230" s="38">
        <v>2</v>
      </c>
      <c r="F230" s="38">
        <v>1500</v>
      </c>
      <c r="G230" s="38">
        <v>5</v>
      </c>
      <c r="H230" s="38">
        <v>1</v>
      </c>
      <c r="I230" s="38" t="s">
        <v>98</v>
      </c>
      <c r="J230" s="38">
        <v>1.5</v>
      </c>
      <c r="K230" s="38">
        <f t="shared" si="20"/>
        <v>15000</v>
      </c>
      <c r="L230" s="38">
        <f t="shared" si="21"/>
        <v>15</v>
      </c>
      <c r="M230" s="38">
        <f t="shared" si="22"/>
        <v>3000</v>
      </c>
      <c r="N230" s="38">
        <f t="shared" si="23"/>
        <v>4500</v>
      </c>
      <c r="O230" s="38"/>
    </row>
    <row r="231" spans="1:15">
      <c r="A231" s="38" t="s">
        <v>104</v>
      </c>
      <c r="B231" s="38" t="s">
        <v>316</v>
      </c>
      <c r="C231" s="38" t="s">
        <v>265</v>
      </c>
      <c r="D231" s="38" t="s">
        <v>318</v>
      </c>
      <c r="E231" s="38">
        <v>1</v>
      </c>
      <c r="F231" s="38">
        <v>1200</v>
      </c>
      <c r="G231" s="38">
        <v>2</v>
      </c>
      <c r="H231" s="38">
        <v>1</v>
      </c>
      <c r="I231" s="38" t="s">
        <v>157</v>
      </c>
      <c r="J231" s="38">
        <v>1.5</v>
      </c>
      <c r="K231" s="38">
        <f t="shared" si="20"/>
        <v>2400</v>
      </c>
      <c r="L231" s="38">
        <f t="shared" si="21"/>
        <v>2.4</v>
      </c>
      <c r="M231" s="38">
        <f t="shared" si="22"/>
        <v>1200</v>
      </c>
      <c r="N231" s="38">
        <f t="shared" si="23"/>
        <v>1800</v>
      </c>
      <c r="O231" s="38"/>
    </row>
    <row r="232" spans="1:15">
      <c r="A232" s="38" t="s">
        <v>104</v>
      </c>
      <c r="B232" s="38" t="s">
        <v>316</v>
      </c>
      <c r="C232" s="38" t="s">
        <v>265</v>
      </c>
      <c r="D232" s="38" t="s">
        <v>319</v>
      </c>
      <c r="E232" s="38">
        <v>4</v>
      </c>
      <c r="F232" s="38">
        <v>150</v>
      </c>
      <c r="G232" s="38">
        <v>8</v>
      </c>
      <c r="H232" s="38">
        <v>1</v>
      </c>
      <c r="I232" s="38" t="s">
        <v>98</v>
      </c>
      <c r="J232" s="38">
        <v>1.5</v>
      </c>
      <c r="K232" s="38">
        <f t="shared" si="20"/>
        <v>4800</v>
      </c>
      <c r="L232" s="38">
        <f t="shared" si="21"/>
        <v>4.8</v>
      </c>
      <c r="M232" s="38">
        <f t="shared" si="22"/>
        <v>600</v>
      </c>
      <c r="N232" s="38">
        <f t="shared" si="23"/>
        <v>900</v>
      </c>
      <c r="O232" s="38"/>
    </row>
    <row r="233" spans="1:15">
      <c r="A233" s="38" t="s">
        <v>104</v>
      </c>
      <c r="B233" s="38" t="s">
        <v>316</v>
      </c>
      <c r="C233" s="38" t="s">
        <v>265</v>
      </c>
      <c r="D233" s="38" t="s">
        <v>181</v>
      </c>
      <c r="E233" s="38">
        <v>1</v>
      </c>
      <c r="F233" s="38">
        <v>1200</v>
      </c>
      <c r="G233" s="38">
        <v>8</v>
      </c>
      <c r="H233" s="38">
        <v>0.6</v>
      </c>
      <c r="I233" s="38" t="s">
        <v>157</v>
      </c>
      <c r="J233" s="38">
        <v>3.5</v>
      </c>
      <c r="K233" s="38">
        <f t="shared" si="20"/>
        <v>5760</v>
      </c>
      <c r="L233" s="38">
        <f t="shared" si="21"/>
        <v>5.76</v>
      </c>
      <c r="M233" s="38">
        <f t="shared" si="22"/>
        <v>1200</v>
      </c>
      <c r="N233" s="38">
        <f t="shared" si="23"/>
        <v>4200</v>
      </c>
      <c r="O233" s="38"/>
    </row>
    <row r="234" spans="1:15">
      <c r="A234" s="38" t="s">
        <v>106</v>
      </c>
      <c r="B234" s="38" t="s">
        <v>320</v>
      </c>
      <c r="C234" s="38" t="s">
        <v>321</v>
      </c>
      <c r="D234" s="38" t="s">
        <v>231</v>
      </c>
      <c r="E234" s="38">
        <v>20</v>
      </c>
      <c r="F234" s="38">
        <v>10</v>
      </c>
      <c r="G234" s="38">
        <v>12</v>
      </c>
      <c r="H234" s="38">
        <v>1</v>
      </c>
      <c r="I234" s="38" t="s">
        <v>98</v>
      </c>
      <c r="J234" s="38">
        <v>1</v>
      </c>
      <c r="K234" s="38">
        <f t="shared" si="20"/>
        <v>2400</v>
      </c>
      <c r="L234" s="38">
        <f t="shared" si="21"/>
        <v>2.4</v>
      </c>
      <c r="M234" s="38">
        <f t="shared" si="22"/>
        <v>200</v>
      </c>
      <c r="N234" s="38">
        <f t="shared" si="23"/>
        <v>200</v>
      </c>
      <c r="O234" s="38"/>
    </row>
    <row r="235" spans="1:15">
      <c r="A235" s="38" t="s">
        <v>106</v>
      </c>
      <c r="B235" s="38" t="s">
        <v>320</v>
      </c>
      <c r="C235" s="38" t="s">
        <v>321</v>
      </c>
      <c r="D235" s="38" t="s">
        <v>322</v>
      </c>
      <c r="E235" s="38">
        <v>4</v>
      </c>
      <c r="F235" s="38">
        <v>60</v>
      </c>
      <c r="G235" s="38">
        <v>10</v>
      </c>
      <c r="H235" s="38">
        <v>1</v>
      </c>
      <c r="I235" s="38" t="s">
        <v>157</v>
      </c>
      <c r="J235" s="38">
        <v>1.2</v>
      </c>
      <c r="K235" s="38">
        <f t="shared" si="20"/>
        <v>2400</v>
      </c>
      <c r="L235" s="38">
        <f t="shared" si="21"/>
        <v>2.4</v>
      </c>
      <c r="M235" s="38">
        <f t="shared" si="22"/>
        <v>240</v>
      </c>
      <c r="N235" s="38">
        <f t="shared" si="23"/>
        <v>288</v>
      </c>
      <c r="O235" s="38"/>
    </row>
    <row r="236" spans="1:15">
      <c r="A236" s="38" t="s">
        <v>106</v>
      </c>
      <c r="B236" s="38" t="s">
        <v>320</v>
      </c>
      <c r="C236" s="38" t="s">
        <v>321</v>
      </c>
      <c r="D236" s="38" t="s">
        <v>181</v>
      </c>
      <c r="E236" s="38">
        <v>2</v>
      </c>
      <c r="F236" s="38">
        <v>1200</v>
      </c>
      <c r="G236" s="38">
        <v>8</v>
      </c>
      <c r="H236" s="38">
        <v>0.6</v>
      </c>
      <c r="I236" s="38" t="s">
        <v>157</v>
      </c>
      <c r="J236" s="38">
        <v>3.5</v>
      </c>
      <c r="K236" s="38">
        <f t="shared" si="20"/>
        <v>11520</v>
      </c>
      <c r="L236" s="38">
        <f t="shared" si="21"/>
        <v>11.52</v>
      </c>
      <c r="M236" s="38">
        <f t="shared" si="22"/>
        <v>2400</v>
      </c>
      <c r="N236" s="38">
        <f t="shared" si="23"/>
        <v>8400</v>
      </c>
      <c r="O236" s="38"/>
    </row>
    <row r="237" spans="1:15">
      <c r="A237" s="38" t="s">
        <v>106</v>
      </c>
      <c r="B237" s="38" t="s">
        <v>320</v>
      </c>
      <c r="C237" s="38" t="s">
        <v>321</v>
      </c>
      <c r="D237" s="38" t="s">
        <v>323</v>
      </c>
      <c r="E237" s="38">
        <v>4</v>
      </c>
      <c r="F237" s="38">
        <v>120</v>
      </c>
      <c r="G237" s="38">
        <v>10</v>
      </c>
      <c r="H237" s="38">
        <v>1</v>
      </c>
      <c r="I237" s="38" t="s">
        <v>98</v>
      </c>
      <c r="J237" s="38">
        <v>1.2</v>
      </c>
      <c r="K237" s="38">
        <f t="shared" si="20"/>
        <v>4800</v>
      </c>
      <c r="L237" s="38">
        <f t="shared" si="21"/>
        <v>4.8</v>
      </c>
      <c r="M237" s="38">
        <f t="shared" si="22"/>
        <v>480</v>
      </c>
      <c r="N237" s="38">
        <f t="shared" si="23"/>
        <v>576</v>
      </c>
      <c r="O237" s="38"/>
    </row>
    <row r="238" spans="1:15">
      <c r="A238" s="38" t="s">
        <v>106</v>
      </c>
      <c r="B238" s="38" t="s">
        <v>320</v>
      </c>
      <c r="C238" s="38" t="s">
        <v>321</v>
      </c>
      <c r="D238" s="38" t="s">
        <v>324</v>
      </c>
      <c r="E238" s="38">
        <v>1</v>
      </c>
      <c r="F238" s="38">
        <v>180</v>
      </c>
      <c r="G238" s="38">
        <v>24</v>
      </c>
      <c r="H238" s="38">
        <v>0.45</v>
      </c>
      <c r="I238" s="38" t="s">
        <v>98</v>
      </c>
      <c r="J238" s="38">
        <v>2</v>
      </c>
      <c r="K238" s="38">
        <f t="shared" si="20"/>
        <v>1944</v>
      </c>
      <c r="L238" s="38">
        <f t="shared" si="21"/>
        <v>1.944</v>
      </c>
      <c r="M238" s="38">
        <f t="shared" si="22"/>
        <v>180</v>
      </c>
      <c r="N238" s="38">
        <f t="shared" si="23"/>
        <v>360</v>
      </c>
      <c r="O238" s="38"/>
    </row>
    <row r="239" spans="1:15">
      <c r="A239" s="38" t="s">
        <v>106</v>
      </c>
      <c r="B239" s="38" t="s">
        <v>320</v>
      </c>
      <c r="C239" s="38" t="s">
        <v>321</v>
      </c>
      <c r="D239" s="38" t="s">
        <v>325</v>
      </c>
      <c r="E239" s="38">
        <v>2</v>
      </c>
      <c r="F239" s="38">
        <v>80</v>
      </c>
      <c r="G239" s="38">
        <v>8</v>
      </c>
      <c r="H239" s="38">
        <v>1</v>
      </c>
      <c r="I239" s="38" t="s">
        <v>98</v>
      </c>
      <c r="J239" s="38">
        <v>1</v>
      </c>
      <c r="K239" s="38">
        <f t="shared" si="20"/>
        <v>1280</v>
      </c>
      <c r="L239" s="38">
        <f t="shared" si="21"/>
        <v>1.28</v>
      </c>
      <c r="M239" s="38">
        <f t="shared" si="22"/>
        <v>160</v>
      </c>
      <c r="N239" s="38">
        <f t="shared" si="23"/>
        <v>160</v>
      </c>
      <c r="O239" s="38"/>
    </row>
    <row r="240" spans="1:15">
      <c r="A240" s="38" t="s">
        <v>106</v>
      </c>
      <c r="B240" s="38" t="s">
        <v>320</v>
      </c>
      <c r="C240" s="38" t="s">
        <v>321</v>
      </c>
      <c r="D240" s="38" t="s">
        <v>247</v>
      </c>
      <c r="E240" s="38">
        <v>1</v>
      </c>
      <c r="F240" s="38">
        <v>1000</v>
      </c>
      <c r="G240" s="38">
        <v>1</v>
      </c>
      <c r="H240" s="38">
        <v>1</v>
      </c>
      <c r="I240" s="38" t="s">
        <v>157</v>
      </c>
      <c r="J240" s="38">
        <v>1.5</v>
      </c>
      <c r="K240" s="38">
        <f t="shared" si="20"/>
        <v>1000</v>
      </c>
      <c r="L240" s="38">
        <f t="shared" si="21"/>
        <v>1</v>
      </c>
      <c r="M240" s="38">
        <f t="shared" si="22"/>
        <v>1000</v>
      </c>
      <c r="N240" s="38">
        <f t="shared" si="23"/>
        <v>1500</v>
      </c>
      <c r="O240" s="38"/>
    </row>
    <row r="241" spans="1:15">
      <c r="A241" s="38" t="s">
        <v>106</v>
      </c>
      <c r="B241" s="38" t="s">
        <v>320</v>
      </c>
      <c r="C241" s="38" t="s">
        <v>321</v>
      </c>
      <c r="D241" s="38" t="s">
        <v>296</v>
      </c>
      <c r="E241" s="38">
        <v>1</v>
      </c>
      <c r="F241" s="38">
        <v>120</v>
      </c>
      <c r="G241" s="38">
        <v>24</v>
      </c>
      <c r="H241" s="38">
        <v>1</v>
      </c>
      <c r="I241" s="38" t="s">
        <v>98</v>
      </c>
      <c r="J241" s="38">
        <v>1</v>
      </c>
      <c r="K241" s="38">
        <f t="shared" si="20"/>
        <v>2880</v>
      </c>
      <c r="L241" s="38">
        <f t="shared" si="21"/>
        <v>2.88</v>
      </c>
      <c r="M241" s="38">
        <f t="shared" si="22"/>
        <v>120</v>
      </c>
      <c r="N241" s="38">
        <f t="shared" si="23"/>
        <v>120</v>
      </c>
      <c r="O241" s="38"/>
    </row>
    <row r="242" spans="1:15">
      <c r="A242" s="38" t="s">
        <v>106</v>
      </c>
      <c r="B242" s="38" t="s">
        <v>326</v>
      </c>
      <c r="C242" s="38" t="s">
        <v>327</v>
      </c>
      <c r="D242" s="38" t="s">
        <v>328</v>
      </c>
      <c r="E242" s="38">
        <v>24</v>
      </c>
      <c r="F242" s="38">
        <v>10</v>
      </c>
      <c r="G242" s="38">
        <v>12</v>
      </c>
      <c r="H242" s="38">
        <v>1</v>
      </c>
      <c r="I242" s="38" t="s">
        <v>98</v>
      </c>
      <c r="J242" s="38">
        <v>1</v>
      </c>
      <c r="K242" s="38">
        <f t="shared" si="20"/>
        <v>2880</v>
      </c>
      <c r="L242" s="38">
        <f t="shared" si="21"/>
        <v>2.88</v>
      </c>
      <c r="M242" s="38">
        <f t="shared" si="22"/>
        <v>240</v>
      </c>
      <c r="N242" s="38">
        <f t="shared" si="23"/>
        <v>240</v>
      </c>
      <c r="O242" s="38"/>
    </row>
    <row r="243" spans="1:15">
      <c r="A243" s="38" t="s">
        <v>106</v>
      </c>
      <c r="B243" s="38" t="s">
        <v>326</v>
      </c>
      <c r="C243" s="38" t="s">
        <v>327</v>
      </c>
      <c r="D243" s="38" t="s">
        <v>323</v>
      </c>
      <c r="E243" s="38">
        <v>4</v>
      </c>
      <c r="F243" s="38">
        <v>120</v>
      </c>
      <c r="G243" s="38">
        <v>10</v>
      </c>
      <c r="H243" s="38">
        <v>1</v>
      </c>
      <c r="I243" s="38" t="s">
        <v>98</v>
      </c>
      <c r="J243" s="38">
        <v>1.2</v>
      </c>
      <c r="K243" s="38">
        <f t="shared" si="20"/>
        <v>4800</v>
      </c>
      <c r="L243" s="38">
        <f t="shared" si="21"/>
        <v>4.8</v>
      </c>
      <c r="M243" s="38">
        <f t="shared" si="22"/>
        <v>480</v>
      </c>
      <c r="N243" s="38">
        <f t="shared" si="23"/>
        <v>576</v>
      </c>
      <c r="O243" s="38"/>
    </row>
    <row r="244" spans="1:15">
      <c r="A244" s="38" t="s">
        <v>106</v>
      </c>
      <c r="B244" s="38" t="s">
        <v>326</v>
      </c>
      <c r="C244" s="38" t="s">
        <v>327</v>
      </c>
      <c r="D244" s="38" t="s">
        <v>329</v>
      </c>
      <c r="E244" s="38">
        <v>2</v>
      </c>
      <c r="F244" s="38">
        <v>180</v>
      </c>
      <c r="G244" s="38">
        <v>24</v>
      </c>
      <c r="H244" s="38">
        <v>0.45</v>
      </c>
      <c r="I244" s="38" t="s">
        <v>98</v>
      </c>
      <c r="J244" s="38">
        <v>2</v>
      </c>
      <c r="K244" s="38">
        <f t="shared" si="20"/>
        <v>3888</v>
      </c>
      <c r="L244" s="38">
        <f t="shared" si="21"/>
        <v>3.8879999999999999</v>
      </c>
      <c r="M244" s="38">
        <f t="shared" si="22"/>
        <v>360</v>
      </c>
      <c r="N244" s="38">
        <f t="shared" si="23"/>
        <v>720</v>
      </c>
      <c r="O244" s="38"/>
    </row>
    <row r="245" spans="1:15">
      <c r="A245" s="38" t="s">
        <v>106</v>
      </c>
      <c r="B245" s="38" t="s">
        <v>326</v>
      </c>
      <c r="C245" s="38" t="s">
        <v>327</v>
      </c>
      <c r="D245" s="38" t="s">
        <v>330</v>
      </c>
      <c r="E245" s="38">
        <v>2</v>
      </c>
      <c r="F245" s="38">
        <v>400</v>
      </c>
      <c r="G245" s="38">
        <v>2</v>
      </c>
      <c r="H245" s="38">
        <v>1</v>
      </c>
      <c r="I245" s="38" t="s">
        <v>98</v>
      </c>
      <c r="J245" s="38">
        <v>2</v>
      </c>
      <c r="K245" s="38">
        <f t="shared" si="20"/>
        <v>1600</v>
      </c>
      <c r="L245" s="38">
        <f t="shared" si="21"/>
        <v>1.6</v>
      </c>
      <c r="M245" s="38">
        <f t="shared" si="22"/>
        <v>800</v>
      </c>
      <c r="N245" s="38">
        <f t="shared" si="23"/>
        <v>1600</v>
      </c>
      <c r="O245" s="38"/>
    </row>
    <row r="246" spans="1:15">
      <c r="A246" s="38" t="s">
        <v>106</v>
      </c>
      <c r="B246" s="38" t="s">
        <v>326</v>
      </c>
      <c r="C246" s="38" t="s">
        <v>327</v>
      </c>
      <c r="D246" s="38" t="s">
        <v>331</v>
      </c>
      <c r="E246" s="38">
        <v>3</v>
      </c>
      <c r="F246" s="38">
        <v>300</v>
      </c>
      <c r="G246" s="38">
        <v>8</v>
      </c>
      <c r="H246" s="38">
        <v>1</v>
      </c>
      <c r="I246" s="38" t="s">
        <v>98</v>
      </c>
      <c r="J246" s="38">
        <v>1.5</v>
      </c>
      <c r="K246" s="38">
        <f t="shared" si="20"/>
        <v>7200</v>
      </c>
      <c r="L246" s="38">
        <f t="shared" si="21"/>
        <v>7.2</v>
      </c>
      <c r="M246" s="38">
        <f t="shared" si="22"/>
        <v>900</v>
      </c>
      <c r="N246" s="38">
        <f t="shared" si="23"/>
        <v>1350</v>
      </c>
      <c r="O246" s="38"/>
    </row>
    <row r="247" spans="1:15">
      <c r="A247" s="38" t="s">
        <v>106</v>
      </c>
      <c r="B247" s="38" t="s">
        <v>326</v>
      </c>
      <c r="C247" s="38" t="s">
        <v>327</v>
      </c>
      <c r="D247" s="38" t="s">
        <v>227</v>
      </c>
      <c r="E247" s="38">
        <v>2</v>
      </c>
      <c r="F247" s="38">
        <v>1800</v>
      </c>
      <c r="G247" s="38">
        <v>10</v>
      </c>
      <c r="H247" s="38">
        <v>0.6</v>
      </c>
      <c r="I247" s="38" t="s">
        <v>98</v>
      </c>
      <c r="J247" s="38">
        <v>3.5</v>
      </c>
      <c r="K247" s="38">
        <f t="shared" si="20"/>
        <v>21600</v>
      </c>
      <c r="L247" s="38">
        <f t="shared" si="21"/>
        <v>21.6</v>
      </c>
      <c r="M247" s="38">
        <f t="shared" si="22"/>
        <v>3600</v>
      </c>
      <c r="N247" s="38">
        <f t="shared" si="23"/>
        <v>12600</v>
      </c>
      <c r="O247" s="38"/>
    </row>
    <row r="248" spans="1:15">
      <c r="A248" s="38" t="s">
        <v>106</v>
      </c>
      <c r="B248" s="38" t="s">
        <v>326</v>
      </c>
      <c r="C248" s="38" t="s">
        <v>327</v>
      </c>
      <c r="D248" s="38" t="s">
        <v>332</v>
      </c>
      <c r="E248" s="38">
        <v>1</v>
      </c>
      <c r="F248" s="38">
        <v>200</v>
      </c>
      <c r="G248" s="38">
        <v>24</v>
      </c>
      <c r="H248" s="38">
        <v>1</v>
      </c>
      <c r="I248" s="38" t="s">
        <v>98</v>
      </c>
      <c r="J248" s="38">
        <v>1</v>
      </c>
      <c r="K248" s="38">
        <f t="shared" si="20"/>
        <v>4800</v>
      </c>
      <c r="L248" s="38">
        <f t="shared" si="21"/>
        <v>4.8</v>
      </c>
      <c r="M248" s="38">
        <f t="shared" si="22"/>
        <v>200</v>
      </c>
      <c r="N248" s="38">
        <f t="shared" si="23"/>
        <v>200</v>
      </c>
      <c r="O248" s="38"/>
    </row>
    <row r="249" spans="1:15">
      <c r="A249" s="38" t="s">
        <v>106</v>
      </c>
      <c r="B249" s="38" t="s">
        <v>333</v>
      </c>
      <c r="C249" s="38" t="s">
        <v>321</v>
      </c>
      <c r="D249" s="38" t="s">
        <v>334</v>
      </c>
      <c r="E249" s="38">
        <v>35</v>
      </c>
      <c r="F249" s="38">
        <v>10</v>
      </c>
      <c r="G249" s="38">
        <v>14</v>
      </c>
      <c r="H249" s="38">
        <v>1</v>
      </c>
      <c r="I249" s="38" t="s">
        <v>98</v>
      </c>
      <c r="J249" s="38">
        <v>1</v>
      </c>
      <c r="K249" s="38">
        <f t="shared" si="20"/>
        <v>4900</v>
      </c>
      <c r="L249" s="38">
        <f t="shared" si="21"/>
        <v>4.9000000000000004</v>
      </c>
      <c r="M249" s="38">
        <f t="shared" si="22"/>
        <v>350</v>
      </c>
      <c r="N249" s="38">
        <f t="shared" si="23"/>
        <v>350</v>
      </c>
      <c r="O249" s="38"/>
    </row>
    <row r="250" spans="1:15">
      <c r="A250" s="38" t="s">
        <v>106</v>
      </c>
      <c r="B250" s="38" t="s">
        <v>333</v>
      </c>
      <c r="C250" s="38" t="s">
        <v>321</v>
      </c>
      <c r="D250" s="38" t="s">
        <v>156</v>
      </c>
      <c r="E250" s="38">
        <v>8</v>
      </c>
      <c r="F250" s="38">
        <v>60</v>
      </c>
      <c r="G250" s="38">
        <v>12</v>
      </c>
      <c r="H250" s="38">
        <v>1</v>
      </c>
      <c r="I250" s="38" t="s">
        <v>157</v>
      </c>
      <c r="J250" s="38">
        <v>1.2</v>
      </c>
      <c r="K250" s="38">
        <f t="shared" si="20"/>
        <v>5760</v>
      </c>
      <c r="L250" s="38">
        <f t="shared" si="21"/>
        <v>5.76</v>
      </c>
      <c r="M250" s="38">
        <f t="shared" si="22"/>
        <v>480</v>
      </c>
      <c r="N250" s="38">
        <f t="shared" si="23"/>
        <v>576</v>
      </c>
      <c r="O250" s="38"/>
    </row>
    <row r="251" spans="1:15">
      <c r="A251" s="38" t="s">
        <v>106</v>
      </c>
      <c r="B251" s="38" t="s">
        <v>333</v>
      </c>
      <c r="C251" s="38" t="s">
        <v>321</v>
      </c>
      <c r="D251" s="38" t="s">
        <v>181</v>
      </c>
      <c r="E251" s="38">
        <v>3</v>
      </c>
      <c r="F251" s="38">
        <v>1200</v>
      </c>
      <c r="G251" s="38">
        <v>8</v>
      </c>
      <c r="H251" s="38">
        <v>0.6</v>
      </c>
      <c r="I251" s="38" t="s">
        <v>157</v>
      </c>
      <c r="J251" s="38">
        <v>3.5</v>
      </c>
      <c r="K251" s="38">
        <f t="shared" si="20"/>
        <v>17280</v>
      </c>
      <c r="L251" s="38">
        <f t="shared" si="21"/>
        <v>17.28</v>
      </c>
      <c r="M251" s="38">
        <f t="shared" si="22"/>
        <v>3600</v>
      </c>
      <c r="N251" s="38">
        <f t="shared" si="23"/>
        <v>12600</v>
      </c>
      <c r="O251" s="38"/>
    </row>
    <row r="252" spans="1:15">
      <c r="A252" s="38" t="s">
        <v>106</v>
      </c>
      <c r="B252" s="38" t="s">
        <v>333</v>
      </c>
      <c r="C252" s="38" t="s">
        <v>321</v>
      </c>
      <c r="D252" s="38" t="s">
        <v>335</v>
      </c>
      <c r="E252" s="38">
        <v>1</v>
      </c>
      <c r="F252" s="38">
        <v>180</v>
      </c>
      <c r="G252" s="38">
        <v>24</v>
      </c>
      <c r="H252" s="38">
        <v>0.45</v>
      </c>
      <c r="I252" s="38" t="s">
        <v>98</v>
      </c>
      <c r="J252" s="38">
        <v>2</v>
      </c>
      <c r="K252" s="38">
        <f t="shared" si="20"/>
        <v>1944</v>
      </c>
      <c r="L252" s="38">
        <f t="shared" si="21"/>
        <v>1.944</v>
      </c>
      <c r="M252" s="38">
        <f t="shared" si="22"/>
        <v>180</v>
      </c>
      <c r="N252" s="38">
        <f t="shared" si="23"/>
        <v>360</v>
      </c>
      <c r="O252" s="38"/>
    </row>
    <row r="253" spans="1:15" ht="30">
      <c r="A253" s="38" t="s">
        <v>106</v>
      </c>
      <c r="B253" s="38" t="s">
        <v>333</v>
      </c>
      <c r="C253" s="38" t="s">
        <v>321</v>
      </c>
      <c r="D253" s="38" t="s">
        <v>336</v>
      </c>
      <c r="E253" s="38">
        <v>1</v>
      </c>
      <c r="F253" s="38">
        <v>1000</v>
      </c>
      <c r="G253" s="38">
        <v>4</v>
      </c>
      <c r="H253" s="38">
        <v>1</v>
      </c>
      <c r="I253" s="38" t="s">
        <v>98</v>
      </c>
      <c r="J253" s="38">
        <v>1.5</v>
      </c>
      <c r="K253" s="38">
        <f t="shared" si="20"/>
        <v>4000</v>
      </c>
      <c r="L253" s="38">
        <f t="shared" si="21"/>
        <v>4</v>
      </c>
      <c r="M253" s="38">
        <f t="shared" si="22"/>
        <v>1000</v>
      </c>
      <c r="N253" s="38">
        <f t="shared" si="23"/>
        <v>1500</v>
      </c>
      <c r="O253" s="38"/>
    </row>
    <row r="254" spans="1:15">
      <c r="A254" s="38" t="s">
        <v>106</v>
      </c>
      <c r="B254" s="38" t="s">
        <v>333</v>
      </c>
      <c r="C254" s="38" t="s">
        <v>321</v>
      </c>
      <c r="D254" s="38" t="s">
        <v>337</v>
      </c>
      <c r="E254" s="38">
        <v>4</v>
      </c>
      <c r="F254" s="38">
        <v>80</v>
      </c>
      <c r="G254" s="38">
        <v>12</v>
      </c>
      <c r="H254" s="38">
        <v>1</v>
      </c>
      <c r="I254" s="38" t="s">
        <v>98</v>
      </c>
      <c r="J254" s="38">
        <v>1</v>
      </c>
      <c r="K254" s="38">
        <f t="shared" si="20"/>
        <v>3840</v>
      </c>
      <c r="L254" s="38">
        <f t="shared" si="21"/>
        <v>3.84</v>
      </c>
      <c r="M254" s="38">
        <f t="shared" si="22"/>
        <v>320</v>
      </c>
      <c r="N254" s="38">
        <f t="shared" si="23"/>
        <v>320</v>
      </c>
      <c r="O254" s="38"/>
    </row>
    <row r="255" spans="1:15">
      <c r="A255" s="38" t="s">
        <v>106</v>
      </c>
      <c r="B255" s="38" t="s">
        <v>333</v>
      </c>
      <c r="C255" s="38" t="s">
        <v>321</v>
      </c>
      <c r="D255" s="38" t="s">
        <v>99</v>
      </c>
      <c r="E255" s="38">
        <v>1</v>
      </c>
      <c r="F255" s="38">
        <v>1100</v>
      </c>
      <c r="G255" s="38">
        <v>1</v>
      </c>
      <c r="H255" s="38">
        <v>1</v>
      </c>
      <c r="I255" s="38" t="s">
        <v>98</v>
      </c>
      <c r="J255" s="38">
        <v>3</v>
      </c>
      <c r="K255" s="38">
        <f t="shared" si="20"/>
        <v>1100</v>
      </c>
      <c r="L255" s="38">
        <f t="shared" si="21"/>
        <v>1.1000000000000001</v>
      </c>
      <c r="M255" s="38">
        <f t="shared" si="22"/>
        <v>1100</v>
      </c>
      <c r="N255" s="38">
        <f t="shared" si="23"/>
        <v>3300</v>
      </c>
      <c r="O255" s="38"/>
    </row>
    <row r="256" spans="1:15" ht="14.45" customHeight="1">
      <c r="A256" s="38" t="s">
        <v>106</v>
      </c>
      <c r="B256" s="38" t="s">
        <v>333</v>
      </c>
      <c r="C256" s="38" t="s">
        <v>321</v>
      </c>
      <c r="D256" s="38" t="s">
        <v>296</v>
      </c>
      <c r="E256" s="38">
        <v>1</v>
      </c>
      <c r="F256" s="38">
        <v>150</v>
      </c>
      <c r="G256" s="38">
        <v>24</v>
      </c>
      <c r="H256" s="38">
        <v>1</v>
      </c>
      <c r="I256" s="38" t="s">
        <v>98</v>
      </c>
      <c r="J256" s="38">
        <v>1</v>
      </c>
      <c r="K256" s="38">
        <f t="shared" si="20"/>
        <v>3600</v>
      </c>
      <c r="L256" s="38">
        <f t="shared" si="21"/>
        <v>3.6</v>
      </c>
      <c r="M256" s="38">
        <f t="shared" si="22"/>
        <v>150</v>
      </c>
      <c r="N256" s="38">
        <f t="shared" si="23"/>
        <v>150</v>
      </c>
      <c r="O256" s="38"/>
    </row>
    <row r="257" spans="1:15">
      <c r="A257" s="38" t="s">
        <v>106</v>
      </c>
      <c r="B257" s="38" t="s">
        <v>338</v>
      </c>
      <c r="C257" s="38" t="s">
        <v>106</v>
      </c>
      <c r="D257" s="38" t="s">
        <v>334</v>
      </c>
      <c r="E257" s="38">
        <v>80</v>
      </c>
      <c r="F257" s="38">
        <v>10</v>
      </c>
      <c r="G257" s="38">
        <v>14</v>
      </c>
      <c r="H257" s="38">
        <v>1</v>
      </c>
      <c r="I257" s="38" t="s">
        <v>98</v>
      </c>
      <c r="J257" s="38">
        <v>1</v>
      </c>
      <c r="K257" s="38">
        <f t="shared" si="20"/>
        <v>11200</v>
      </c>
      <c r="L257" s="38">
        <f t="shared" si="21"/>
        <v>11.2</v>
      </c>
      <c r="M257" s="38">
        <f t="shared" si="22"/>
        <v>800</v>
      </c>
      <c r="N257" s="38">
        <f t="shared" si="23"/>
        <v>800</v>
      </c>
      <c r="O257" s="38"/>
    </row>
    <row r="258" spans="1:15" ht="30">
      <c r="A258" s="38" t="s">
        <v>106</v>
      </c>
      <c r="B258" s="38" t="s">
        <v>338</v>
      </c>
      <c r="C258" s="38" t="s">
        <v>106</v>
      </c>
      <c r="D258" s="38" t="s">
        <v>339</v>
      </c>
      <c r="E258" s="38">
        <v>4</v>
      </c>
      <c r="F258" s="38">
        <v>200</v>
      </c>
      <c r="G258" s="38">
        <v>4</v>
      </c>
      <c r="H258" s="38">
        <v>1</v>
      </c>
      <c r="I258" s="38" t="s">
        <v>98</v>
      </c>
      <c r="J258" s="38">
        <v>1</v>
      </c>
      <c r="K258" s="38">
        <f t="shared" si="20"/>
        <v>3200</v>
      </c>
      <c r="L258" s="38">
        <f t="shared" si="21"/>
        <v>3.2</v>
      </c>
      <c r="M258" s="38">
        <f t="shared" si="22"/>
        <v>800</v>
      </c>
      <c r="N258" s="38">
        <f t="shared" si="23"/>
        <v>800</v>
      </c>
      <c r="O258" s="38"/>
    </row>
    <row r="259" spans="1:15">
      <c r="A259" s="38" t="s">
        <v>106</v>
      </c>
      <c r="B259" s="38" t="s">
        <v>338</v>
      </c>
      <c r="C259" s="38" t="s">
        <v>106</v>
      </c>
      <c r="D259" s="38" t="s">
        <v>156</v>
      </c>
      <c r="E259" s="38">
        <v>15</v>
      </c>
      <c r="F259" s="38">
        <v>60</v>
      </c>
      <c r="G259" s="38">
        <v>12</v>
      </c>
      <c r="H259" s="38">
        <v>1</v>
      </c>
      <c r="I259" s="38" t="s">
        <v>157</v>
      </c>
      <c r="J259" s="38">
        <v>1.2</v>
      </c>
      <c r="K259" s="38">
        <f t="shared" si="20"/>
        <v>10800</v>
      </c>
      <c r="L259" s="38">
        <f t="shared" si="21"/>
        <v>10.8</v>
      </c>
      <c r="M259" s="38">
        <f t="shared" si="22"/>
        <v>900</v>
      </c>
      <c r="N259" s="38">
        <f t="shared" si="23"/>
        <v>1080</v>
      </c>
      <c r="O259" s="38"/>
    </row>
    <row r="260" spans="1:15">
      <c r="A260" s="38" t="s">
        <v>106</v>
      </c>
      <c r="B260" s="38" t="s">
        <v>338</v>
      </c>
      <c r="C260" s="38" t="s">
        <v>106</v>
      </c>
      <c r="D260" s="38" t="s">
        <v>340</v>
      </c>
      <c r="E260" s="38">
        <v>5</v>
      </c>
      <c r="F260" s="38">
        <v>1200</v>
      </c>
      <c r="G260" s="38">
        <v>8</v>
      </c>
      <c r="H260" s="38">
        <v>0.6</v>
      </c>
      <c r="I260" s="38" t="s">
        <v>157</v>
      </c>
      <c r="J260" s="38">
        <v>3.5</v>
      </c>
      <c r="K260" s="38">
        <f t="shared" si="20"/>
        <v>28800</v>
      </c>
      <c r="L260" s="38">
        <f t="shared" si="21"/>
        <v>28.8</v>
      </c>
      <c r="M260" s="38">
        <f t="shared" si="22"/>
        <v>6000</v>
      </c>
      <c r="N260" s="38">
        <f t="shared" si="23"/>
        <v>21000</v>
      </c>
      <c r="O260" s="38"/>
    </row>
    <row r="261" spans="1:15">
      <c r="A261" s="38" t="s">
        <v>106</v>
      </c>
      <c r="B261" s="38" t="s">
        <v>338</v>
      </c>
      <c r="C261" s="38" t="s">
        <v>106</v>
      </c>
      <c r="D261" s="38" t="s">
        <v>341</v>
      </c>
      <c r="E261" s="38">
        <v>3</v>
      </c>
      <c r="F261" s="38">
        <v>180</v>
      </c>
      <c r="G261" s="38">
        <v>24</v>
      </c>
      <c r="H261" s="38">
        <v>0.45</v>
      </c>
      <c r="I261" s="38" t="s">
        <v>98</v>
      </c>
      <c r="J261" s="38">
        <v>2</v>
      </c>
      <c r="K261" s="38">
        <f t="shared" si="20"/>
        <v>5832</v>
      </c>
      <c r="L261" s="38">
        <f t="shared" si="21"/>
        <v>5.8319999999999999</v>
      </c>
      <c r="M261" s="38">
        <f t="shared" si="22"/>
        <v>540</v>
      </c>
      <c r="N261" s="38">
        <f t="shared" si="23"/>
        <v>1080</v>
      </c>
      <c r="O261" s="38"/>
    </row>
    <row r="262" spans="1:15">
      <c r="A262" s="38" t="s">
        <v>106</v>
      </c>
      <c r="B262" s="38" t="s">
        <v>338</v>
      </c>
      <c r="C262" s="38" t="s">
        <v>106</v>
      </c>
      <c r="D262" s="38" t="s">
        <v>337</v>
      </c>
      <c r="E262" s="38">
        <v>8</v>
      </c>
      <c r="F262" s="38">
        <v>80</v>
      </c>
      <c r="G262" s="38">
        <v>12</v>
      </c>
      <c r="H262" s="38">
        <v>1</v>
      </c>
      <c r="I262" s="38" t="s">
        <v>98</v>
      </c>
      <c r="J262" s="38">
        <v>1</v>
      </c>
      <c r="K262" s="38">
        <f t="shared" si="20"/>
        <v>7680</v>
      </c>
      <c r="L262" s="38">
        <f t="shared" si="21"/>
        <v>7.68</v>
      </c>
      <c r="M262" s="38">
        <f t="shared" si="22"/>
        <v>640</v>
      </c>
      <c r="N262" s="38">
        <f t="shared" si="23"/>
        <v>640</v>
      </c>
      <c r="O262" s="38"/>
    </row>
    <row r="263" spans="1:15">
      <c r="A263" s="38" t="s">
        <v>106</v>
      </c>
      <c r="B263" s="38" t="s">
        <v>338</v>
      </c>
      <c r="C263" s="38" t="s">
        <v>106</v>
      </c>
      <c r="D263" s="38" t="s">
        <v>342</v>
      </c>
      <c r="E263" s="38">
        <v>1</v>
      </c>
      <c r="F263" s="38">
        <v>3000</v>
      </c>
      <c r="G263" s="38">
        <v>8</v>
      </c>
      <c r="H263" s="38">
        <v>1</v>
      </c>
      <c r="I263" s="38" t="s">
        <v>98</v>
      </c>
      <c r="J263" s="38">
        <v>1.5</v>
      </c>
      <c r="K263" s="38">
        <f t="shared" si="20"/>
        <v>24000</v>
      </c>
      <c r="L263" s="38">
        <f t="shared" si="21"/>
        <v>24</v>
      </c>
      <c r="M263" s="38">
        <f t="shared" si="22"/>
        <v>3000</v>
      </c>
      <c r="N263" s="38">
        <f t="shared" si="23"/>
        <v>4500</v>
      </c>
      <c r="O263" s="38"/>
    </row>
    <row r="264" spans="1:15">
      <c r="A264" s="38" t="s">
        <v>106</v>
      </c>
      <c r="B264" s="38" t="s">
        <v>338</v>
      </c>
      <c r="C264" s="38" t="s">
        <v>106</v>
      </c>
      <c r="D264" s="38" t="s">
        <v>343</v>
      </c>
      <c r="E264" s="38">
        <v>1</v>
      </c>
      <c r="F264" s="38">
        <v>800</v>
      </c>
      <c r="G264" s="38">
        <v>24</v>
      </c>
      <c r="H264" s="38">
        <v>1</v>
      </c>
      <c r="I264" s="38" t="s">
        <v>98</v>
      </c>
      <c r="J264" s="38">
        <v>1.2</v>
      </c>
      <c r="K264" s="38">
        <f t="shared" si="20"/>
        <v>19200</v>
      </c>
      <c r="L264" s="38">
        <f t="shared" si="21"/>
        <v>19.2</v>
      </c>
      <c r="M264" s="38">
        <f t="shared" si="22"/>
        <v>800</v>
      </c>
      <c r="N264" s="38">
        <f t="shared" si="23"/>
        <v>960</v>
      </c>
      <c r="O264" s="38"/>
    </row>
    <row r="265" spans="1:15">
      <c r="A265" s="38" t="s">
        <v>106</v>
      </c>
      <c r="B265" s="38" t="s">
        <v>338</v>
      </c>
      <c r="C265" s="38" t="s">
        <v>106</v>
      </c>
      <c r="D265" s="38" t="s">
        <v>99</v>
      </c>
      <c r="E265" s="38">
        <v>1</v>
      </c>
      <c r="F265" s="38">
        <v>1500</v>
      </c>
      <c r="G265" s="38">
        <v>2</v>
      </c>
      <c r="H265" s="38">
        <v>1</v>
      </c>
      <c r="I265" s="38" t="s">
        <v>98</v>
      </c>
      <c r="J265" s="38">
        <v>3</v>
      </c>
      <c r="K265" s="38">
        <f t="shared" si="20"/>
        <v>3000</v>
      </c>
      <c r="L265" s="38">
        <f t="shared" si="21"/>
        <v>3</v>
      </c>
      <c r="M265" s="38">
        <f t="shared" si="22"/>
        <v>1500</v>
      </c>
      <c r="N265" s="38">
        <f t="shared" si="23"/>
        <v>4500</v>
      </c>
      <c r="O265" s="38"/>
    </row>
    <row r="266" spans="1:15">
      <c r="A266" s="38" t="s">
        <v>106</v>
      </c>
      <c r="B266" s="38" t="s">
        <v>344</v>
      </c>
      <c r="C266" s="38" t="s">
        <v>321</v>
      </c>
      <c r="D266" s="38" t="s">
        <v>231</v>
      </c>
      <c r="E266" s="38">
        <v>16</v>
      </c>
      <c r="F266" s="38">
        <v>10</v>
      </c>
      <c r="G266" s="38">
        <v>10</v>
      </c>
      <c r="H266" s="38">
        <v>1</v>
      </c>
      <c r="I266" s="38" t="s">
        <v>98</v>
      </c>
      <c r="J266" s="38">
        <v>1</v>
      </c>
      <c r="K266" s="38">
        <f t="shared" si="20"/>
        <v>1600</v>
      </c>
      <c r="L266" s="38">
        <f t="shared" si="21"/>
        <v>1.6</v>
      </c>
      <c r="M266" s="38">
        <f t="shared" si="22"/>
        <v>160</v>
      </c>
      <c r="N266" s="38">
        <f t="shared" si="23"/>
        <v>160</v>
      </c>
      <c r="O266" s="38"/>
    </row>
    <row r="267" spans="1:15">
      <c r="A267" s="38" t="s">
        <v>106</v>
      </c>
      <c r="B267" s="38" t="s">
        <v>344</v>
      </c>
      <c r="C267" s="38" t="s">
        <v>321</v>
      </c>
      <c r="D267" s="38" t="s">
        <v>345</v>
      </c>
      <c r="E267" s="38">
        <v>2</v>
      </c>
      <c r="F267" s="38">
        <v>800</v>
      </c>
      <c r="G267" s="38">
        <v>6</v>
      </c>
      <c r="H267" s="38">
        <v>1</v>
      </c>
      <c r="I267" s="38" t="s">
        <v>98</v>
      </c>
      <c r="J267" s="38">
        <v>2</v>
      </c>
      <c r="K267" s="38">
        <f t="shared" si="20"/>
        <v>9600</v>
      </c>
      <c r="L267" s="38">
        <f t="shared" si="21"/>
        <v>9.6</v>
      </c>
      <c r="M267" s="38">
        <f t="shared" si="22"/>
        <v>1600</v>
      </c>
      <c r="N267" s="38">
        <f t="shared" si="23"/>
        <v>3200</v>
      </c>
      <c r="O267" s="38"/>
    </row>
    <row r="268" spans="1:15">
      <c r="A268" s="38" t="s">
        <v>106</v>
      </c>
      <c r="B268" s="38" t="s">
        <v>344</v>
      </c>
      <c r="C268" s="38" t="s">
        <v>321</v>
      </c>
      <c r="D268" s="38" t="s">
        <v>295</v>
      </c>
      <c r="E268" s="38">
        <v>1</v>
      </c>
      <c r="F268" s="38">
        <v>1500</v>
      </c>
      <c r="G268" s="38">
        <v>4</v>
      </c>
      <c r="H268" s="38">
        <v>0.6</v>
      </c>
      <c r="I268" s="38" t="s">
        <v>98</v>
      </c>
      <c r="J268" s="38">
        <v>3</v>
      </c>
      <c r="K268" s="38">
        <f t="shared" si="20"/>
        <v>3600</v>
      </c>
      <c r="L268" s="38">
        <f t="shared" si="21"/>
        <v>3.6</v>
      </c>
      <c r="M268" s="38">
        <f t="shared" si="22"/>
        <v>1500</v>
      </c>
      <c r="N268" s="38">
        <f t="shared" si="23"/>
        <v>4500</v>
      </c>
      <c r="O268" s="38"/>
    </row>
    <row r="269" spans="1:15">
      <c r="A269" s="38" t="s">
        <v>106</v>
      </c>
      <c r="B269" s="38" t="s">
        <v>344</v>
      </c>
      <c r="C269" s="38" t="s">
        <v>321</v>
      </c>
      <c r="D269" s="38" t="s">
        <v>247</v>
      </c>
      <c r="E269" s="38">
        <v>1</v>
      </c>
      <c r="F269" s="38">
        <v>1000</v>
      </c>
      <c r="G269" s="38">
        <v>1</v>
      </c>
      <c r="H269" s="38">
        <v>1</v>
      </c>
      <c r="I269" s="38" t="s">
        <v>98</v>
      </c>
      <c r="J269" s="38">
        <v>1.5</v>
      </c>
      <c r="K269" s="38">
        <f t="shared" si="20"/>
        <v>1000</v>
      </c>
      <c r="L269" s="38">
        <f t="shared" si="21"/>
        <v>1</v>
      </c>
      <c r="M269" s="38">
        <f t="shared" si="22"/>
        <v>1000</v>
      </c>
      <c r="N269" s="38">
        <f t="shared" si="23"/>
        <v>1500</v>
      </c>
      <c r="O269" s="38"/>
    </row>
    <row r="270" spans="1:15">
      <c r="A270" s="38" t="s">
        <v>106</v>
      </c>
      <c r="B270" s="38" t="s">
        <v>344</v>
      </c>
      <c r="C270" s="38" t="s">
        <v>321</v>
      </c>
      <c r="D270" s="38" t="s">
        <v>319</v>
      </c>
      <c r="E270" s="38">
        <v>3</v>
      </c>
      <c r="F270" s="38">
        <v>120</v>
      </c>
      <c r="G270" s="38">
        <v>10</v>
      </c>
      <c r="H270" s="38">
        <v>1</v>
      </c>
      <c r="I270" s="38" t="s">
        <v>98</v>
      </c>
      <c r="J270" s="38">
        <v>1.2</v>
      </c>
      <c r="K270" s="38">
        <f t="shared" si="20"/>
        <v>3600</v>
      </c>
      <c r="L270" s="38">
        <f t="shared" si="21"/>
        <v>3.6</v>
      </c>
      <c r="M270" s="38">
        <f t="shared" si="22"/>
        <v>360</v>
      </c>
      <c r="N270" s="38">
        <f t="shared" si="23"/>
        <v>432</v>
      </c>
      <c r="O270" s="38"/>
    </row>
    <row r="271" spans="1:15">
      <c r="A271" s="38" t="s">
        <v>106</v>
      </c>
      <c r="B271" s="38" t="s">
        <v>344</v>
      </c>
      <c r="C271" s="38" t="s">
        <v>321</v>
      </c>
      <c r="D271" s="38" t="s">
        <v>181</v>
      </c>
      <c r="E271" s="38">
        <v>2</v>
      </c>
      <c r="F271" s="38">
        <v>1200</v>
      </c>
      <c r="G271" s="38">
        <v>8</v>
      </c>
      <c r="H271" s="38">
        <v>0.6</v>
      </c>
      <c r="I271" s="38" t="s">
        <v>157</v>
      </c>
      <c r="J271" s="38">
        <v>3.5</v>
      </c>
      <c r="K271" s="38">
        <f t="shared" si="20"/>
        <v>11520</v>
      </c>
      <c r="L271" s="38">
        <f t="shared" si="21"/>
        <v>11.52</v>
      </c>
      <c r="M271" s="38">
        <f t="shared" si="22"/>
        <v>2400</v>
      </c>
      <c r="N271" s="38">
        <f t="shared" si="23"/>
        <v>8400</v>
      </c>
      <c r="O271" s="38"/>
    </row>
    <row r="272" spans="1:15">
      <c r="A272" s="38" t="s">
        <v>106</v>
      </c>
      <c r="B272" s="38" t="s">
        <v>344</v>
      </c>
      <c r="C272" s="38" t="s">
        <v>321</v>
      </c>
      <c r="D272" s="38" t="s">
        <v>346</v>
      </c>
      <c r="E272" s="38">
        <v>1</v>
      </c>
      <c r="F272" s="38">
        <v>100</v>
      </c>
      <c r="G272" s="38">
        <v>24</v>
      </c>
      <c r="H272" s="38">
        <v>1</v>
      </c>
      <c r="I272" s="38" t="s">
        <v>98</v>
      </c>
      <c r="J272" s="38">
        <v>1</v>
      </c>
      <c r="K272" s="38">
        <f t="shared" si="20"/>
        <v>2400</v>
      </c>
      <c r="L272" s="38">
        <f t="shared" si="21"/>
        <v>2.4</v>
      </c>
      <c r="M272" s="38">
        <f t="shared" si="22"/>
        <v>100</v>
      </c>
      <c r="N272" s="38">
        <f t="shared" si="23"/>
        <v>100</v>
      </c>
      <c r="O272" s="38"/>
    </row>
    <row r="273" spans="1:15">
      <c r="A273" s="38" t="s">
        <v>102</v>
      </c>
      <c r="B273" s="38" t="s">
        <v>347</v>
      </c>
      <c r="C273" s="38" t="s">
        <v>102</v>
      </c>
      <c r="D273" s="38" t="s">
        <v>348</v>
      </c>
      <c r="E273" s="38">
        <v>40</v>
      </c>
      <c r="F273" s="38">
        <v>10</v>
      </c>
      <c r="G273" s="38">
        <v>8</v>
      </c>
      <c r="H273" s="38">
        <v>1</v>
      </c>
      <c r="I273" s="38" t="s">
        <v>98</v>
      </c>
      <c r="J273" s="38">
        <v>1</v>
      </c>
      <c r="K273" s="38">
        <f t="shared" si="20"/>
        <v>3200</v>
      </c>
      <c r="L273" s="38">
        <f t="shared" si="21"/>
        <v>3.2</v>
      </c>
      <c r="M273" s="38">
        <f t="shared" si="22"/>
        <v>400</v>
      </c>
      <c r="N273" s="38">
        <f t="shared" si="23"/>
        <v>400</v>
      </c>
      <c r="O273" s="38"/>
    </row>
    <row r="274" spans="1:15">
      <c r="A274" s="38" t="s">
        <v>102</v>
      </c>
      <c r="B274" s="38" t="s">
        <v>347</v>
      </c>
      <c r="C274" s="38" t="s">
        <v>102</v>
      </c>
      <c r="D274" s="38" t="s">
        <v>349</v>
      </c>
      <c r="E274" s="38">
        <v>20</v>
      </c>
      <c r="F274" s="38">
        <v>60</v>
      </c>
      <c r="G274" s="38">
        <v>8</v>
      </c>
      <c r="H274" s="38">
        <v>1</v>
      </c>
      <c r="I274" s="38" t="s">
        <v>157</v>
      </c>
      <c r="J274" s="38">
        <v>1.2</v>
      </c>
      <c r="K274" s="38">
        <f t="shared" si="20"/>
        <v>9600</v>
      </c>
      <c r="L274" s="38">
        <f t="shared" si="21"/>
        <v>9.6</v>
      </c>
      <c r="M274" s="38">
        <f t="shared" si="22"/>
        <v>1200</v>
      </c>
      <c r="N274" s="38">
        <f t="shared" si="23"/>
        <v>1440</v>
      </c>
      <c r="O274" s="38"/>
    </row>
    <row r="275" spans="1:15">
      <c r="A275" s="38" t="s">
        <v>102</v>
      </c>
      <c r="B275" s="38" t="s">
        <v>347</v>
      </c>
      <c r="C275" s="38" t="s">
        <v>102</v>
      </c>
      <c r="D275" s="38" t="s">
        <v>350</v>
      </c>
      <c r="E275" s="38">
        <v>5</v>
      </c>
      <c r="F275" s="38">
        <v>120</v>
      </c>
      <c r="G275" s="38">
        <v>8</v>
      </c>
      <c r="H275" s="38">
        <v>1</v>
      </c>
      <c r="I275" s="38" t="s">
        <v>98</v>
      </c>
      <c r="J275" s="38">
        <v>1.2</v>
      </c>
      <c r="K275" s="38">
        <f t="shared" si="20"/>
        <v>4800</v>
      </c>
      <c r="L275" s="38">
        <f t="shared" si="21"/>
        <v>4.8</v>
      </c>
      <c r="M275" s="38">
        <f t="shared" si="22"/>
        <v>600</v>
      </c>
      <c r="N275" s="38">
        <f t="shared" si="23"/>
        <v>720</v>
      </c>
      <c r="O275" s="38"/>
    </row>
    <row r="276" spans="1:15">
      <c r="A276" s="38" t="s">
        <v>102</v>
      </c>
      <c r="B276" s="38" t="s">
        <v>347</v>
      </c>
      <c r="C276" s="38" t="s">
        <v>102</v>
      </c>
      <c r="D276" s="38" t="s">
        <v>351</v>
      </c>
      <c r="E276" s="38">
        <v>1</v>
      </c>
      <c r="F276" s="38">
        <v>800</v>
      </c>
      <c r="G276" s="38">
        <v>1</v>
      </c>
      <c r="H276" s="38">
        <v>1</v>
      </c>
      <c r="I276" s="38" t="s">
        <v>157</v>
      </c>
      <c r="J276" s="38">
        <v>2</v>
      </c>
      <c r="K276" s="38">
        <f t="shared" si="20"/>
        <v>800</v>
      </c>
      <c r="L276" s="38">
        <f t="shared" si="21"/>
        <v>0.8</v>
      </c>
      <c r="M276" s="38">
        <f t="shared" si="22"/>
        <v>800</v>
      </c>
      <c r="N276" s="38">
        <f t="shared" si="23"/>
        <v>1600</v>
      </c>
      <c r="O276" s="38"/>
    </row>
    <row r="277" spans="1:15">
      <c r="A277" s="38" t="s">
        <v>102</v>
      </c>
      <c r="B277" s="38" t="s">
        <v>347</v>
      </c>
      <c r="C277" s="38" t="s">
        <v>102</v>
      </c>
      <c r="D277" s="38" t="s">
        <v>74</v>
      </c>
      <c r="E277" s="38">
        <v>1</v>
      </c>
      <c r="F277" s="38">
        <v>50</v>
      </c>
      <c r="G277" s="38">
        <v>12</v>
      </c>
      <c r="H277" s="38">
        <v>1</v>
      </c>
      <c r="I277" s="38" t="s">
        <v>98</v>
      </c>
      <c r="J277" s="38">
        <v>1</v>
      </c>
      <c r="K277" s="38">
        <f t="shared" si="20"/>
        <v>600</v>
      </c>
      <c r="L277" s="38">
        <f t="shared" si="21"/>
        <v>0.6</v>
      </c>
      <c r="M277" s="38">
        <f t="shared" si="22"/>
        <v>50</v>
      </c>
      <c r="N277" s="38">
        <f t="shared" si="23"/>
        <v>50</v>
      </c>
      <c r="O277" s="38"/>
    </row>
    <row r="278" spans="1:15">
      <c r="A278" s="38" t="s">
        <v>102</v>
      </c>
      <c r="B278" s="38" t="s">
        <v>347</v>
      </c>
      <c r="C278" s="38" t="s">
        <v>102</v>
      </c>
      <c r="D278" s="38" t="s">
        <v>99</v>
      </c>
      <c r="E278" s="38">
        <v>1</v>
      </c>
      <c r="F278" s="38">
        <v>1100</v>
      </c>
      <c r="G278" s="38">
        <v>1</v>
      </c>
      <c r="H278" s="38">
        <v>1</v>
      </c>
      <c r="I278" s="38" t="s">
        <v>98</v>
      </c>
      <c r="J278" s="38">
        <v>3</v>
      </c>
      <c r="K278" s="38">
        <f t="shared" si="20"/>
        <v>1100</v>
      </c>
      <c r="L278" s="38">
        <f t="shared" si="21"/>
        <v>1.1000000000000001</v>
      </c>
      <c r="M278" s="38">
        <f t="shared" si="22"/>
        <v>1100</v>
      </c>
      <c r="N278" s="38">
        <f t="shared" si="23"/>
        <v>3300</v>
      </c>
      <c r="O278" s="38"/>
    </row>
    <row r="279" spans="1:15">
      <c r="A279" s="38" t="s">
        <v>102</v>
      </c>
      <c r="B279" s="38" t="s">
        <v>347</v>
      </c>
      <c r="C279" s="38" t="s">
        <v>102</v>
      </c>
      <c r="D279" s="38" t="s">
        <v>175</v>
      </c>
      <c r="E279" s="38">
        <v>8</v>
      </c>
      <c r="F279" s="38">
        <v>20</v>
      </c>
      <c r="G279" s="38">
        <v>12</v>
      </c>
      <c r="H279" s="38">
        <v>1</v>
      </c>
      <c r="I279" s="38" t="s">
        <v>98</v>
      </c>
      <c r="J279" s="38">
        <v>1</v>
      </c>
      <c r="K279" s="38">
        <f t="shared" si="20"/>
        <v>1920</v>
      </c>
      <c r="L279" s="38">
        <f t="shared" si="21"/>
        <v>1.92</v>
      </c>
      <c r="M279" s="38">
        <f t="shared" si="22"/>
        <v>160</v>
      </c>
      <c r="N279" s="38">
        <f t="shared" si="23"/>
        <v>160</v>
      </c>
      <c r="O279" s="38"/>
    </row>
    <row r="280" spans="1:15">
      <c r="A280" s="38" t="s">
        <v>102</v>
      </c>
      <c r="B280" s="38" t="s">
        <v>352</v>
      </c>
      <c r="C280" s="38" t="s">
        <v>102</v>
      </c>
      <c r="D280" s="38" t="s">
        <v>348</v>
      </c>
      <c r="E280" s="38">
        <v>80</v>
      </c>
      <c r="F280" s="38">
        <v>10</v>
      </c>
      <c r="G280" s="38">
        <v>8</v>
      </c>
      <c r="H280" s="38">
        <v>1</v>
      </c>
      <c r="I280" s="38" t="s">
        <v>98</v>
      </c>
      <c r="J280" s="38">
        <v>1</v>
      </c>
      <c r="K280" s="38">
        <f t="shared" si="20"/>
        <v>6400</v>
      </c>
      <c r="L280" s="38">
        <f t="shared" si="21"/>
        <v>6.4</v>
      </c>
      <c r="M280" s="38">
        <f t="shared" si="22"/>
        <v>800</v>
      </c>
      <c r="N280" s="38">
        <f t="shared" si="23"/>
        <v>800</v>
      </c>
      <c r="O280" s="38"/>
    </row>
    <row r="281" spans="1:15">
      <c r="A281" s="38" t="s">
        <v>102</v>
      </c>
      <c r="B281" s="38" t="s">
        <v>352</v>
      </c>
      <c r="C281" s="38" t="s">
        <v>102</v>
      </c>
      <c r="D281" s="38" t="s">
        <v>349</v>
      </c>
      <c r="E281" s="38">
        <v>40</v>
      </c>
      <c r="F281" s="38">
        <v>60</v>
      </c>
      <c r="G281" s="38">
        <v>8</v>
      </c>
      <c r="H281" s="38">
        <v>1</v>
      </c>
      <c r="I281" s="38" t="s">
        <v>157</v>
      </c>
      <c r="J281" s="38">
        <v>1.2</v>
      </c>
      <c r="K281" s="38">
        <f t="shared" si="20"/>
        <v>19200</v>
      </c>
      <c r="L281" s="38">
        <f t="shared" si="21"/>
        <v>19.2</v>
      </c>
      <c r="M281" s="38">
        <f t="shared" si="22"/>
        <v>2400</v>
      </c>
      <c r="N281" s="38">
        <f t="shared" si="23"/>
        <v>2880</v>
      </c>
      <c r="O281" s="38"/>
    </row>
    <row r="282" spans="1:15">
      <c r="A282" s="38" t="s">
        <v>102</v>
      </c>
      <c r="B282" s="38" t="s">
        <v>352</v>
      </c>
      <c r="C282" s="38" t="s">
        <v>102</v>
      </c>
      <c r="D282" s="38" t="s">
        <v>353</v>
      </c>
      <c r="E282" s="38">
        <v>10</v>
      </c>
      <c r="F282" s="38">
        <v>120</v>
      </c>
      <c r="G282" s="38">
        <v>8</v>
      </c>
      <c r="H282" s="38">
        <v>1</v>
      </c>
      <c r="I282" s="38" t="s">
        <v>98</v>
      </c>
      <c r="J282" s="38">
        <v>1.2</v>
      </c>
      <c r="K282" s="38">
        <f t="shared" si="20"/>
        <v>9600</v>
      </c>
      <c r="L282" s="38">
        <f t="shared" si="21"/>
        <v>9.6</v>
      </c>
      <c r="M282" s="38">
        <f t="shared" si="22"/>
        <v>1200</v>
      </c>
      <c r="N282" s="38">
        <f t="shared" si="23"/>
        <v>1440</v>
      </c>
      <c r="O282" s="38"/>
    </row>
    <row r="283" spans="1:15">
      <c r="A283" s="38" t="s">
        <v>102</v>
      </c>
      <c r="B283" s="38" t="s">
        <v>352</v>
      </c>
      <c r="C283" s="38" t="s">
        <v>102</v>
      </c>
      <c r="D283" s="38" t="s">
        <v>354</v>
      </c>
      <c r="E283" s="38">
        <v>2</v>
      </c>
      <c r="F283" s="38">
        <v>800</v>
      </c>
      <c r="G283" s="38">
        <v>1</v>
      </c>
      <c r="H283" s="38">
        <v>1</v>
      </c>
      <c r="I283" s="38" t="s">
        <v>157</v>
      </c>
      <c r="J283" s="38">
        <v>2</v>
      </c>
      <c r="K283" s="38">
        <f t="shared" si="20"/>
        <v>1600</v>
      </c>
      <c r="L283" s="38">
        <f t="shared" si="21"/>
        <v>1.6</v>
      </c>
      <c r="M283" s="38">
        <f t="shared" si="22"/>
        <v>1600</v>
      </c>
      <c r="N283" s="38">
        <f t="shared" si="23"/>
        <v>3200</v>
      </c>
      <c r="O283" s="38"/>
    </row>
    <row r="284" spans="1:15">
      <c r="A284" s="38" t="s">
        <v>102</v>
      </c>
      <c r="B284" s="38" t="s">
        <v>352</v>
      </c>
      <c r="C284" s="38" t="s">
        <v>102</v>
      </c>
      <c r="D284" s="38" t="s">
        <v>355</v>
      </c>
      <c r="E284" s="38">
        <v>1</v>
      </c>
      <c r="F284" s="38">
        <v>2000</v>
      </c>
      <c r="G284" s="38">
        <v>3</v>
      </c>
      <c r="H284" s="38">
        <v>1</v>
      </c>
      <c r="I284" s="38" t="s">
        <v>157</v>
      </c>
      <c r="J284" s="38">
        <v>1.5</v>
      </c>
      <c r="K284" s="38">
        <f t="shared" si="20"/>
        <v>6000</v>
      </c>
      <c r="L284" s="38">
        <f t="shared" si="21"/>
        <v>6</v>
      </c>
      <c r="M284" s="38">
        <f t="shared" si="22"/>
        <v>2000</v>
      </c>
      <c r="N284" s="38">
        <f t="shared" si="23"/>
        <v>3000</v>
      </c>
      <c r="O284" s="38"/>
    </row>
    <row r="285" spans="1:15">
      <c r="A285" s="38" t="s">
        <v>102</v>
      </c>
      <c r="B285" s="38" t="s">
        <v>352</v>
      </c>
      <c r="C285" s="38" t="s">
        <v>102</v>
      </c>
      <c r="D285" s="38" t="s">
        <v>346</v>
      </c>
      <c r="E285" s="38">
        <v>1</v>
      </c>
      <c r="F285" s="38">
        <v>200</v>
      </c>
      <c r="G285" s="38">
        <v>24</v>
      </c>
      <c r="H285" s="38">
        <v>1</v>
      </c>
      <c r="I285" s="38" t="s">
        <v>98</v>
      </c>
      <c r="J285" s="38">
        <v>1</v>
      </c>
      <c r="K285" s="38">
        <f t="shared" ref="K285:K312" si="24">E285*F285*G285*H285</f>
        <v>4800</v>
      </c>
      <c r="L285" s="38">
        <f t="shared" ref="L285:L312" si="25">K285/1000</f>
        <v>4.8</v>
      </c>
      <c r="M285" s="38">
        <f t="shared" ref="M285:M312" si="26">E285*F285</f>
        <v>200</v>
      </c>
      <c r="N285" s="38">
        <f t="shared" ref="N285:N312" si="27">M285*J285</f>
        <v>200</v>
      </c>
      <c r="O285" s="38"/>
    </row>
    <row r="286" spans="1:15">
      <c r="A286" s="38" t="s">
        <v>102</v>
      </c>
      <c r="B286" s="38" t="s">
        <v>352</v>
      </c>
      <c r="C286" s="38" t="s">
        <v>102</v>
      </c>
      <c r="D286" s="38" t="s">
        <v>99</v>
      </c>
      <c r="E286" s="38">
        <v>1</v>
      </c>
      <c r="F286" s="38">
        <v>1500</v>
      </c>
      <c r="G286" s="38">
        <v>2</v>
      </c>
      <c r="H286" s="38">
        <v>1</v>
      </c>
      <c r="I286" s="38" t="s">
        <v>98</v>
      </c>
      <c r="J286" s="38">
        <v>3</v>
      </c>
      <c r="K286" s="38">
        <f t="shared" si="24"/>
        <v>3000</v>
      </c>
      <c r="L286" s="38">
        <f t="shared" si="25"/>
        <v>3</v>
      </c>
      <c r="M286" s="38">
        <f t="shared" si="26"/>
        <v>1500</v>
      </c>
      <c r="N286" s="38">
        <f t="shared" si="27"/>
        <v>4500</v>
      </c>
      <c r="O286" s="38"/>
    </row>
    <row r="287" spans="1:15">
      <c r="A287" s="38" t="s">
        <v>102</v>
      </c>
      <c r="B287" s="38" t="s">
        <v>356</v>
      </c>
      <c r="C287" s="38" t="s">
        <v>158</v>
      </c>
      <c r="D287" s="38" t="s">
        <v>231</v>
      </c>
      <c r="E287" s="38">
        <v>20</v>
      </c>
      <c r="F287" s="38">
        <v>10</v>
      </c>
      <c r="G287" s="38">
        <v>8</v>
      </c>
      <c r="H287" s="38">
        <v>1</v>
      </c>
      <c r="I287" s="38" t="s">
        <v>98</v>
      </c>
      <c r="J287" s="38">
        <v>1</v>
      </c>
      <c r="K287" s="38">
        <f t="shared" si="24"/>
        <v>1600</v>
      </c>
      <c r="L287" s="38">
        <f t="shared" si="25"/>
        <v>1.6</v>
      </c>
      <c r="M287" s="38">
        <f t="shared" si="26"/>
        <v>200</v>
      </c>
      <c r="N287" s="38">
        <f t="shared" si="27"/>
        <v>200</v>
      </c>
      <c r="O287" s="38"/>
    </row>
    <row r="288" spans="1:15">
      <c r="A288" s="38" t="s">
        <v>102</v>
      </c>
      <c r="B288" s="38" t="s">
        <v>356</v>
      </c>
      <c r="C288" s="38" t="s">
        <v>158</v>
      </c>
      <c r="D288" s="38" t="s">
        <v>357</v>
      </c>
      <c r="E288" s="38">
        <v>25</v>
      </c>
      <c r="F288" s="38">
        <v>150</v>
      </c>
      <c r="G288" s="38">
        <v>8</v>
      </c>
      <c r="H288" s="38">
        <v>1</v>
      </c>
      <c r="I288" s="38" t="s">
        <v>98</v>
      </c>
      <c r="J288" s="38">
        <v>1.5</v>
      </c>
      <c r="K288" s="38">
        <f t="shared" si="24"/>
        <v>30000</v>
      </c>
      <c r="L288" s="38">
        <f t="shared" si="25"/>
        <v>30</v>
      </c>
      <c r="M288" s="38">
        <f t="shared" si="26"/>
        <v>3750</v>
      </c>
      <c r="N288" s="38">
        <f t="shared" si="27"/>
        <v>5625</v>
      </c>
      <c r="O288" s="38"/>
    </row>
    <row r="289" spans="1:15">
      <c r="A289" s="38" t="s">
        <v>102</v>
      </c>
      <c r="B289" s="38" t="s">
        <v>356</v>
      </c>
      <c r="C289" s="38" t="s">
        <v>158</v>
      </c>
      <c r="D289" s="38" t="s">
        <v>358</v>
      </c>
      <c r="E289" s="38">
        <v>1</v>
      </c>
      <c r="F289" s="38">
        <v>500</v>
      </c>
      <c r="G289" s="38">
        <v>24</v>
      </c>
      <c r="H289" s="38">
        <v>1</v>
      </c>
      <c r="I289" s="38" t="s">
        <v>98</v>
      </c>
      <c r="J289" s="38">
        <v>1.2</v>
      </c>
      <c r="K289" s="38">
        <f t="shared" si="24"/>
        <v>12000</v>
      </c>
      <c r="L289" s="38">
        <f t="shared" si="25"/>
        <v>12</v>
      </c>
      <c r="M289" s="38">
        <f t="shared" si="26"/>
        <v>500</v>
      </c>
      <c r="N289" s="38">
        <f t="shared" si="27"/>
        <v>600</v>
      </c>
      <c r="O289" s="38"/>
    </row>
    <row r="290" spans="1:15">
      <c r="A290" s="38" t="s">
        <v>102</v>
      </c>
      <c r="B290" s="38" t="s">
        <v>356</v>
      </c>
      <c r="C290" s="38" t="s">
        <v>158</v>
      </c>
      <c r="D290" s="38" t="s">
        <v>359</v>
      </c>
      <c r="E290" s="38">
        <v>1</v>
      </c>
      <c r="F290" s="38">
        <v>300</v>
      </c>
      <c r="G290" s="38">
        <v>6</v>
      </c>
      <c r="H290" s="38">
        <v>1</v>
      </c>
      <c r="I290" s="38" t="s">
        <v>157</v>
      </c>
      <c r="J290" s="38">
        <v>1.2</v>
      </c>
      <c r="K290" s="38">
        <f t="shared" si="24"/>
        <v>1800</v>
      </c>
      <c r="L290" s="38">
        <f t="shared" si="25"/>
        <v>1.8</v>
      </c>
      <c r="M290" s="38">
        <f t="shared" si="26"/>
        <v>300</v>
      </c>
      <c r="N290" s="38">
        <f t="shared" si="27"/>
        <v>360</v>
      </c>
      <c r="O290" s="38"/>
    </row>
    <row r="291" spans="1:15">
      <c r="A291" s="38" t="s">
        <v>102</v>
      </c>
      <c r="B291" s="38" t="s">
        <v>356</v>
      </c>
      <c r="C291" s="38" t="s">
        <v>158</v>
      </c>
      <c r="D291" s="38" t="s">
        <v>227</v>
      </c>
      <c r="E291" s="38">
        <v>2</v>
      </c>
      <c r="F291" s="38">
        <v>1800</v>
      </c>
      <c r="G291" s="38">
        <v>8</v>
      </c>
      <c r="H291" s="38">
        <v>0.6</v>
      </c>
      <c r="I291" s="38" t="s">
        <v>157</v>
      </c>
      <c r="J291" s="38">
        <v>3.5</v>
      </c>
      <c r="K291" s="38">
        <f t="shared" si="24"/>
        <v>17280</v>
      </c>
      <c r="L291" s="38">
        <f t="shared" si="25"/>
        <v>17.28</v>
      </c>
      <c r="M291" s="38">
        <f t="shared" si="26"/>
        <v>3600</v>
      </c>
      <c r="N291" s="38">
        <f t="shared" si="27"/>
        <v>12600</v>
      </c>
      <c r="O291" s="38"/>
    </row>
    <row r="292" spans="1:15">
      <c r="A292" s="38" t="s">
        <v>102</v>
      </c>
      <c r="B292" s="38" t="s">
        <v>356</v>
      </c>
      <c r="C292" s="38" t="s">
        <v>158</v>
      </c>
      <c r="D292" s="38" t="s">
        <v>252</v>
      </c>
      <c r="E292" s="38">
        <v>1</v>
      </c>
      <c r="F292" s="38">
        <v>500</v>
      </c>
      <c r="G292" s="38">
        <v>0.5</v>
      </c>
      <c r="H292" s="38">
        <v>1</v>
      </c>
      <c r="I292" s="38" t="s">
        <v>157</v>
      </c>
      <c r="J292" s="38">
        <v>2</v>
      </c>
      <c r="K292" s="38">
        <f t="shared" si="24"/>
        <v>250</v>
      </c>
      <c r="L292" s="38">
        <f t="shared" si="25"/>
        <v>0.25</v>
      </c>
      <c r="M292" s="38">
        <f t="shared" si="26"/>
        <v>500</v>
      </c>
      <c r="N292" s="38">
        <f t="shared" si="27"/>
        <v>1000</v>
      </c>
      <c r="O292" s="38"/>
    </row>
    <row r="293" spans="1:15">
      <c r="A293" s="38" t="s">
        <v>102</v>
      </c>
      <c r="B293" s="38" t="s">
        <v>360</v>
      </c>
      <c r="C293" s="38" t="s">
        <v>361</v>
      </c>
      <c r="D293" s="38" t="s">
        <v>362</v>
      </c>
      <c r="E293" s="38">
        <v>20</v>
      </c>
      <c r="F293" s="38">
        <v>10</v>
      </c>
      <c r="G293" s="38">
        <v>8</v>
      </c>
      <c r="H293" s="38">
        <v>1</v>
      </c>
      <c r="I293" s="38" t="s">
        <v>98</v>
      </c>
      <c r="J293" s="38">
        <v>1</v>
      </c>
      <c r="K293" s="38">
        <f t="shared" si="24"/>
        <v>1600</v>
      </c>
      <c r="L293" s="38">
        <f t="shared" si="25"/>
        <v>1.6</v>
      </c>
      <c r="M293" s="38">
        <f t="shared" si="26"/>
        <v>200</v>
      </c>
      <c r="N293" s="38">
        <f t="shared" si="27"/>
        <v>200</v>
      </c>
      <c r="O293" s="38"/>
    </row>
    <row r="294" spans="1:15">
      <c r="A294" s="38" t="s">
        <v>102</v>
      </c>
      <c r="B294" s="38" t="s">
        <v>360</v>
      </c>
      <c r="C294" s="38" t="s">
        <v>361</v>
      </c>
      <c r="D294" s="38" t="s">
        <v>250</v>
      </c>
      <c r="E294" s="38">
        <v>20</v>
      </c>
      <c r="F294" s="38">
        <v>65</v>
      </c>
      <c r="G294" s="38">
        <v>8</v>
      </c>
      <c r="H294" s="38">
        <v>1</v>
      </c>
      <c r="I294" s="38" t="s">
        <v>98</v>
      </c>
      <c r="J294" s="38">
        <v>1</v>
      </c>
      <c r="K294" s="38">
        <f t="shared" si="24"/>
        <v>10400</v>
      </c>
      <c r="L294" s="38">
        <f t="shared" si="25"/>
        <v>10.4</v>
      </c>
      <c r="M294" s="38">
        <f t="shared" si="26"/>
        <v>1300</v>
      </c>
      <c r="N294" s="38">
        <f t="shared" si="27"/>
        <v>1300</v>
      </c>
      <c r="O294" s="38"/>
    </row>
    <row r="295" spans="1:15">
      <c r="A295" s="38" t="s">
        <v>102</v>
      </c>
      <c r="B295" s="38" t="s">
        <v>360</v>
      </c>
      <c r="C295" s="38" t="s">
        <v>361</v>
      </c>
      <c r="D295" s="38" t="s">
        <v>363</v>
      </c>
      <c r="E295" s="38">
        <v>2</v>
      </c>
      <c r="F295" s="38">
        <v>250</v>
      </c>
      <c r="G295" s="38">
        <v>6</v>
      </c>
      <c r="H295" s="38">
        <v>1</v>
      </c>
      <c r="I295" s="38" t="s">
        <v>157</v>
      </c>
      <c r="J295" s="38">
        <v>1.2</v>
      </c>
      <c r="K295" s="38">
        <f t="shared" si="24"/>
        <v>3000</v>
      </c>
      <c r="L295" s="38">
        <f t="shared" si="25"/>
        <v>3</v>
      </c>
      <c r="M295" s="38">
        <f t="shared" si="26"/>
        <v>500</v>
      </c>
      <c r="N295" s="38">
        <f t="shared" si="27"/>
        <v>600</v>
      </c>
      <c r="O295" s="38"/>
    </row>
    <row r="296" spans="1:15">
      <c r="A296" s="38" t="s">
        <v>102</v>
      </c>
      <c r="B296" s="38" t="s">
        <v>360</v>
      </c>
      <c r="C296" s="38" t="s">
        <v>361</v>
      </c>
      <c r="D296" s="38" t="s">
        <v>253</v>
      </c>
      <c r="E296" s="38">
        <v>1</v>
      </c>
      <c r="F296" s="38">
        <v>100</v>
      </c>
      <c r="G296" s="38">
        <v>12</v>
      </c>
      <c r="H296" s="38">
        <v>1</v>
      </c>
      <c r="I296" s="38" t="s">
        <v>98</v>
      </c>
      <c r="J296" s="38">
        <v>1</v>
      </c>
      <c r="K296" s="38">
        <f t="shared" si="24"/>
        <v>1200</v>
      </c>
      <c r="L296" s="38">
        <f t="shared" si="25"/>
        <v>1.2</v>
      </c>
      <c r="M296" s="38">
        <f t="shared" si="26"/>
        <v>100</v>
      </c>
      <c r="N296" s="38">
        <f t="shared" si="27"/>
        <v>100</v>
      </c>
      <c r="O296" s="38"/>
    </row>
    <row r="297" spans="1:15">
      <c r="A297" s="38" t="s">
        <v>102</v>
      </c>
      <c r="B297" s="38" t="s">
        <v>360</v>
      </c>
      <c r="C297" s="38" t="s">
        <v>361</v>
      </c>
      <c r="D297" s="38" t="s">
        <v>181</v>
      </c>
      <c r="E297" s="38">
        <v>2</v>
      </c>
      <c r="F297" s="38">
        <v>1200</v>
      </c>
      <c r="G297" s="38">
        <v>8</v>
      </c>
      <c r="H297" s="38">
        <v>0.6</v>
      </c>
      <c r="I297" s="38" t="s">
        <v>157</v>
      </c>
      <c r="J297" s="38">
        <v>3.5</v>
      </c>
      <c r="K297" s="38">
        <f t="shared" si="24"/>
        <v>11520</v>
      </c>
      <c r="L297" s="38">
        <f t="shared" si="25"/>
        <v>11.52</v>
      </c>
      <c r="M297" s="38">
        <f t="shared" si="26"/>
        <v>2400</v>
      </c>
      <c r="N297" s="38">
        <f t="shared" si="27"/>
        <v>8400</v>
      </c>
      <c r="O297" s="38"/>
    </row>
    <row r="298" spans="1:15">
      <c r="A298" s="38" t="s">
        <v>102</v>
      </c>
      <c r="B298" s="38" t="s">
        <v>360</v>
      </c>
      <c r="C298" s="38" t="s">
        <v>361</v>
      </c>
      <c r="D298" s="38" t="s">
        <v>156</v>
      </c>
      <c r="E298" s="38">
        <v>4</v>
      </c>
      <c r="F298" s="38">
        <v>60</v>
      </c>
      <c r="G298" s="38">
        <v>8</v>
      </c>
      <c r="H298" s="38">
        <v>1</v>
      </c>
      <c r="I298" s="38" t="s">
        <v>157</v>
      </c>
      <c r="J298" s="38">
        <v>1.2</v>
      </c>
      <c r="K298" s="38">
        <f t="shared" si="24"/>
        <v>1920</v>
      </c>
      <c r="L298" s="38">
        <f t="shared" si="25"/>
        <v>1.92</v>
      </c>
      <c r="M298" s="38">
        <f t="shared" si="26"/>
        <v>240</v>
      </c>
      <c r="N298" s="38">
        <f t="shared" si="27"/>
        <v>288</v>
      </c>
      <c r="O298" s="38"/>
    </row>
    <row r="299" spans="1:15">
      <c r="A299" s="38" t="s">
        <v>102</v>
      </c>
      <c r="B299" s="38" t="s">
        <v>364</v>
      </c>
      <c r="C299" s="38" t="s">
        <v>361</v>
      </c>
      <c r="D299" s="38" t="s">
        <v>365</v>
      </c>
      <c r="E299" s="38">
        <v>60</v>
      </c>
      <c r="F299" s="38">
        <v>15</v>
      </c>
      <c r="G299" s="38">
        <v>6</v>
      </c>
      <c r="H299" s="38">
        <v>1</v>
      </c>
      <c r="I299" s="38" t="s">
        <v>98</v>
      </c>
      <c r="J299" s="38">
        <v>1</v>
      </c>
      <c r="K299" s="38">
        <f t="shared" si="24"/>
        <v>5400</v>
      </c>
      <c r="L299" s="38">
        <f t="shared" si="25"/>
        <v>5.4</v>
      </c>
      <c r="M299" s="38">
        <f t="shared" si="26"/>
        <v>900</v>
      </c>
      <c r="N299" s="38">
        <f t="shared" si="27"/>
        <v>900</v>
      </c>
      <c r="O299" s="38"/>
    </row>
    <row r="300" spans="1:15">
      <c r="A300" s="38" t="s">
        <v>102</v>
      </c>
      <c r="B300" s="38" t="s">
        <v>364</v>
      </c>
      <c r="C300" s="38" t="s">
        <v>361</v>
      </c>
      <c r="D300" s="38" t="s">
        <v>366</v>
      </c>
      <c r="E300" s="38">
        <v>10</v>
      </c>
      <c r="F300" s="38">
        <v>100</v>
      </c>
      <c r="G300" s="38">
        <v>4</v>
      </c>
      <c r="H300" s="38">
        <v>1</v>
      </c>
      <c r="I300" s="38" t="s">
        <v>157</v>
      </c>
      <c r="J300" s="38">
        <v>1</v>
      </c>
      <c r="K300" s="38">
        <f t="shared" si="24"/>
        <v>4000</v>
      </c>
      <c r="L300" s="38">
        <f t="shared" si="25"/>
        <v>4</v>
      </c>
      <c r="M300" s="38">
        <f t="shared" si="26"/>
        <v>1000</v>
      </c>
      <c r="N300" s="38">
        <f t="shared" si="27"/>
        <v>1000</v>
      </c>
      <c r="O300" s="38"/>
    </row>
    <row r="301" spans="1:15">
      <c r="A301" s="38" t="s">
        <v>102</v>
      </c>
      <c r="B301" s="38" t="s">
        <v>364</v>
      </c>
      <c r="C301" s="38" t="s">
        <v>361</v>
      </c>
      <c r="D301" s="38" t="s">
        <v>137</v>
      </c>
      <c r="E301" s="38">
        <v>1</v>
      </c>
      <c r="F301" s="38">
        <v>1500</v>
      </c>
      <c r="G301" s="38">
        <v>4</v>
      </c>
      <c r="H301" s="38">
        <v>1</v>
      </c>
      <c r="I301" s="38" t="s">
        <v>98</v>
      </c>
      <c r="J301" s="38">
        <v>1.5</v>
      </c>
      <c r="K301" s="38">
        <f t="shared" si="24"/>
        <v>6000</v>
      </c>
      <c r="L301" s="38">
        <f t="shared" si="25"/>
        <v>6</v>
      </c>
      <c r="M301" s="38">
        <f t="shared" si="26"/>
        <v>1500</v>
      </c>
      <c r="N301" s="38">
        <f t="shared" si="27"/>
        <v>2250</v>
      </c>
      <c r="O301" s="38"/>
    </row>
    <row r="302" spans="1:15">
      <c r="A302" s="38" t="s">
        <v>102</v>
      </c>
      <c r="B302" s="38" t="s">
        <v>364</v>
      </c>
      <c r="C302" s="38" t="s">
        <v>361</v>
      </c>
      <c r="D302" s="38" t="s">
        <v>367</v>
      </c>
      <c r="E302" s="38">
        <v>2</v>
      </c>
      <c r="F302" s="38">
        <v>300</v>
      </c>
      <c r="G302" s="38">
        <v>4</v>
      </c>
      <c r="H302" s="38">
        <v>1</v>
      </c>
      <c r="I302" s="38" t="s">
        <v>157</v>
      </c>
      <c r="J302" s="38">
        <v>1.2</v>
      </c>
      <c r="K302" s="38">
        <f t="shared" si="24"/>
        <v>2400</v>
      </c>
      <c r="L302" s="38">
        <f t="shared" si="25"/>
        <v>2.4</v>
      </c>
      <c r="M302" s="38">
        <f t="shared" si="26"/>
        <v>600</v>
      </c>
      <c r="N302" s="38">
        <f t="shared" si="27"/>
        <v>720</v>
      </c>
      <c r="O302" s="38"/>
    </row>
    <row r="303" spans="1:15">
      <c r="A303" s="38" t="s">
        <v>102</v>
      </c>
      <c r="B303" s="38" t="s">
        <v>364</v>
      </c>
      <c r="C303" s="38" t="s">
        <v>361</v>
      </c>
      <c r="D303" s="38" t="s">
        <v>156</v>
      </c>
      <c r="E303" s="38">
        <v>12</v>
      </c>
      <c r="F303" s="38">
        <v>60</v>
      </c>
      <c r="G303" s="38">
        <v>6</v>
      </c>
      <c r="H303" s="38">
        <v>1</v>
      </c>
      <c r="I303" s="38" t="s">
        <v>157</v>
      </c>
      <c r="J303" s="38">
        <v>1.2</v>
      </c>
      <c r="K303" s="38">
        <f t="shared" si="24"/>
        <v>4320</v>
      </c>
      <c r="L303" s="38">
        <f t="shared" si="25"/>
        <v>4.32</v>
      </c>
      <c r="M303" s="38">
        <f t="shared" si="26"/>
        <v>720</v>
      </c>
      <c r="N303" s="38">
        <f t="shared" si="27"/>
        <v>864</v>
      </c>
      <c r="O303" s="38"/>
    </row>
    <row r="304" spans="1:15">
      <c r="A304" s="38" t="s">
        <v>102</v>
      </c>
      <c r="B304" s="38" t="s">
        <v>364</v>
      </c>
      <c r="C304" s="38" t="s">
        <v>361</v>
      </c>
      <c r="D304" s="38" t="s">
        <v>227</v>
      </c>
      <c r="E304" s="38">
        <v>4</v>
      </c>
      <c r="F304" s="38">
        <v>1800</v>
      </c>
      <c r="G304" s="38">
        <v>4</v>
      </c>
      <c r="H304" s="38">
        <v>0.6</v>
      </c>
      <c r="I304" s="38" t="s">
        <v>157</v>
      </c>
      <c r="J304" s="38">
        <v>3.5</v>
      </c>
      <c r="K304" s="38">
        <f t="shared" si="24"/>
        <v>17280</v>
      </c>
      <c r="L304" s="38">
        <f t="shared" si="25"/>
        <v>17.28</v>
      </c>
      <c r="M304" s="38">
        <f t="shared" si="26"/>
        <v>7200</v>
      </c>
      <c r="N304" s="38">
        <f t="shared" si="27"/>
        <v>25200</v>
      </c>
      <c r="O304" s="38"/>
    </row>
    <row r="305" spans="1:15">
      <c r="A305" s="38" t="s">
        <v>102</v>
      </c>
      <c r="B305" s="38" t="s">
        <v>364</v>
      </c>
      <c r="C305" s="38" t="s">
        <v>361</v>
      </c>
      <c r="D305" s="38" t="s">
        <v>307</v>
      </c>
      <c r="E305" s="38">
        <v>1</v>
      </c>
      <c r="F305" s="38">
        <v>150</v>
      </c>
      <c r="G305" s="38">
        <v>8</v>
      </c>
      <c r="H305" s="38">
        <v>1</v>
      </c>
      <c r="I305" s="38" t="s">
        <v>157</v>
      </c>
      <c r="J305" s="38">
        <v>1</v>
      </c>
      <c r="K305" s="38">
        <f t="shared" si="24"/>
        <v>1200</v>
      </c>
      <c r="L305" s="38">
        <f t="shared" si="25"/>
        <v>1.2</v>
      </c>
      <c r="M305" s="38">
        <f t="shared" si="26"/>
        <v>150</v>
      </c>
      <c r="N305" s="38">
        <f t="shared" si="27"/>
        <v>150</v>
      </c>
      <c r="O305" s="38"/>
    </row>
    <row r="306" spans="1:15">
      <c r="A306" s="38" t="s">
        <v>102</v>
      </c>
      <c r="B306" s="38" t="s">
        <v>368</v>
      </c>
      <c r="C306" s="38" t="s">
        <v>361</v>
      </c>
      <c r="D306" s="38" t="s">
        <v>369</v>
      </c>
      <c r="E306" s="38">
        <v>80</v>
      </c>
      <c r="F306" s="38">
        <v>10</v>
      </c>
      <c r="G306" s="38">
        <v>12</v>
      </c>
      <c r="H306" s="38">
        <v>1</v>
      </c>
      <c r="I306" s="38" t="s">
        <v>98</v>
      </c>
      <c r="J306" s="38">
        <v>1</v>
      </c>
      <c r="K306" s="38">
        <f t="shared" si="24"/>
        <v>9600</v>
      </c>
      <c r="L306" s="38">
        <f t="shared" si="25"/>
        <v>9.6</v>
      </c>
      <c r="M306" s="38">
        <f t="shared" si="26"/>
        <v>800</v>
      </c>
      <c r="N306" s="38">
        <f t="shared" si="27"/>
        <v>800</v>
      </c>
      <c r="O306" s="38"/>
    </row>
    <row r="307" spans="1:15">
      <c r="A307" s="38" t="s">
        <v>102</v>
      </c>
      <c r="B307" s="38" t="s">
        <v>368</v>
      </c>
      <c r="C307" s="38" t="s">
        <v>361</v>
      </c>
      <c r="D307" s="38" t="s">
        <v>175</v>
      </c>
      <c r="E307" s="38">
        <v>20</v>
      </c>
      <c r="F307" s="38">
        <v>20</v>
      </c>
      <c r="G307" s="38">
        <v>12</v>
      </c>
      <c r="H307" s="38">
        <v>1</v>
      </c>
      <c r="I307" s="38" t="s">
        <v>98</v>
      </c>
      <c r="J307" s="38">
        <v>1</v>
      </c>
      <c r="K307" s="38">
        <f t="shared" si="24"/>
        <v>4800</v>
      </c>
      <c r="L307" s="38">
        <f t="shared" si="25"/>
        <v>4.8</v>
      </c>
      <c r="M307" s="38">
        <f t="shared" si="26"/>
        <v>400</v>
      </c>
      <c r="N307" s="38">
        <f t="shared" si="27"/>
        <v>400</v>
      </c>
      <c r="O307" s="38"/>
    </row>
    <row r="308" spans="1:15">
      <c r="A308" s="38" t="s">
        <v>102</v>
      </c>
      <c r="B308" s="38" t="s">
        <v>368</v>
      </c>
      <c r="C308" s="38" t="s">
        <v>361</v>
      </c>
      <c r="D308" s="38" t="s">
        <v>99</v>
      </c>
      <c r="E308" s="38">
        <v>2</v>
      </c>
      <c r="F308" s="38">
        <v>1500</v>
      </c>
      <c r="G308" s="38">
        <v>3</v>
      </c>
      <c r="H308" s="38">
        <v>1</v>
      </c>
      <c r="I308" s="38" t="s">
        <v>98</v>
      </c>
      <c r="J308" s="38">
        <v>3</v>
      </c>
      <c r="K308" s="38">
        <f t="shared" si="24"/>
        <v>9000</v>
      </c>
      <c r="L308" s="38">
        <f t="shared" si="25"/>
        <v>9</v>
      </c>
      <c r="M308" s="38">
        <f t="shared" si="26"/>
        <v>3000</v>
      </c>
      <c r="N308" s="38">
        <f t="shared" si="27"/>
        <v>9000</v>
      </c>
      <c r="O308" s="38"/>
    </row>
    <row r="309" spans="1:15">
      <c r="A309" s="38" t="s">
        <v>102</v>
      </c>
      <c r="B309" s="38" t="s">
        <v>368</v>
      </c>
      <c r="C309" s="38" t="s">
        <v>361</v>
      </c>
      <c r="D309" s="38" t="s">
        <v>370</v>
      </c>
      <c r="E309" s="38">
        <v>3</v>
      </c>
      <c r="F309" s="38">
        <v>300</v>
      </c>
      <c r="G309" s="38">
        <v>24</v>
      </c>
      <c r="H309" s="38">
        <v>0.5</v>
      </c>
      <c r="I309" s="38" t="s">
        <v>98</v>
      </c>
      <c r="J309" s="38">
        <v>2.5</v>
      </c>
      <c r="K309" s="38">
        <f t="shared" si="24"/>
        <v>10800</v>
      </c>
      <c r="L309" s="38">
        <f t="shared" si="25"/>
        <v>10.8</v>
      </c>
      <c r="M309" s="38">
        <f t="shared" si="26"/>
        <v>900</v>
      </c>
      <c r="N309" s="38">
        <f t="shared" si="27"/>
        <v>2250</v>
      </c>
      <c r="O309" s="38"/>
    </row>
    <row r="310" spans="1:15">
      <c r="A310" s="38" t="s">
        <v>102</v>
      </c>
      <c r="B310" s="38" t="s">
        <v>368</v>
      </c>
      <c r="C310" s="38" t="s">
        <v>361</v>
      </c>
      <c r="D310" s="38" t="s">
        <v>371</v>
      </c>
      <c r="E310" s="38">
        <v>10</v>
      </c>
      <c r="F310" s="38">
        <v>120</v>
      </c>
      <c r="G310" s="38">
        <v>8</v>
      </c>
      <c r="H310" s="38">
        <v>1</v>
      </c>
      <c r="I310" s="38" t="s">
        <v>98</v>
      </c>
      <c r="J310" s="38">
        <v>1.2</v>
      </c>
      <c r="K310" s="38">
        <f t="shared" si="24"/>
        <v>9600</v>
      </c>
      <c r="L310" s="38">
        <f t="shared" si="25"/>
        <v>9.6</v>
      </c>
      <c r="M310" s="38">
        <f t="shared" si="26"/>
        <v>1200</v>
      </c>
      <c r="N310" s="38">
        <f t="shared" si="27"/>
        <v>1440</v>
      </c>
      <c r="O310" s="38"/>
    </row>
    <row r="311" spans="1:15">
      <c r="A311" s="38" t="s">
        <v>102</v>
      </c>
      <c r="B311" s="38" t="s">
        <v>368</v>
      </c>
      <c r="C311" s="38" t="s">
        <v>361</v>
      </c>
      <c r="D311" s="38" t="s">
        <v>296</v>
      </c>
      <c r="E311" s="38">
        <v>1</v>
      </c>
      <c r="F311" s="38">
        <v>250</v>
      </c>
      <c r="G311" s="38">
        <v>24</v>
      </c>
      <c r="H311" s="38">
        <v>1</v>
      </c>
      <c r="I311" s="38" t="s">
        <v>98</v>
      </c>
      <c r="J311" s="38">
        <v>1</v>
      </c>
      <c r="K311" s="38">
        <f t="shared" si="24"/>
        <v>6000</v>
      </c>
      <c r="L311" s="38">
        <f t="shared" si="25"/>
        <v>6</v>
      </c>
      <c r="M311" s="38">
        <f t="shared" si="26"/>
        <v>250</v>
      </c>
      <c r="N311" s="38">
        <f t="shared" si="27"/>
        <v>250</v>
      </c>
      <c r="O311" s="38"/>
    </row>
    <row r="312" spans="1:15">
      <c r="A312" s="38" t="s">
        <v>102</v>
      </c>
      <c r="B312" s="38" t="s">
        <v>368</v>
      </c>
      <c r="C312" s="38" t="s">
        <v>361</v>
      </c>
      <c r="D312" s="38" t="s">
        <v>156</v>
      </c>
      <c r="E312" s="38">
        <v>20</v>
      </c>
      <c r="F312" s="38">
        <v>60</v>
      </c>
      <c r="G312" s="38">
        <v>8</v>
      </c>
      <c r="H312" s="38">
        <v>1</v>
      </c>
      <c r="I312" s="38" t="s">
        <v>157</v>
      </c>
      <c r="J312" s="38">
        <v>1.2</v>
      </c>
      <c r="K312" s="38">
        <f t="shared" si="24"/>
        <v>9600</v>
      </c>
      <c r="L312" s="38">
        <f t="shared" si="25"/>
        <v>9.6</v>
      </c>
      <c r="M312" s="38">
        <f t="shared" si="26"/>
        <v>1200</v>
      </c>
      <c r="N312" s="38">
        <f t="shared" si="27"/>
        <v>1440</v>
      </c>
      <c r="O312" s="38"/>
    </row>
  </sheetData>
  <mergeCells count="1">
    <mergeCell ref="A1:H1"/>
  </mergeCells>
  <dataValidations count="2">
    <dataValidation type="list" sqref="I4:I312" xr:uid="{BD80FE93-645A-491B-8D56-BA5A672997B1}">
      <formula1>"Yes,Optional,No,Depends"</formula1>
    </dataValidation>
    <dataValidation type="list" sqref="A4:A312" xr:uid="{C826D829-A1FE-41CC-B21C-B3908784E51D}">
      <formula1>"Home,Hotel,Commercial,Factory,Hospital,School"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L30"/>
  <sheetViews>
    <sheetView showGridLines="0" topLeftCell="B1" zoomScaleNormal="100" workbookViewId="0">
      <selection activeCell="H20" sqref="H20"/>
    </sheetView>
  </sheetViews>
  <sheetFormatPr defaultRowHeight="15"/>
  <cols>
    <col min="1" max="1" width="28.7109375" customWidth="1"/>
    <col min="2" max="10" width="18" customWidth="1"/>
    <col min="11" max="11" width="23.42578125" customWidth="1"/>
    <col min="12" max="19" width="18" customWidth="1"/>
  </cols>
  <sheetData>
    <row r="1" spans="1:12" ht="24" customHeight="1">
      <c r="A1" s="77" t="s">
        <v>79</v>
      </c>
      <c r="B1" s="77"/>
      <c r="C1" s="78"/>
      <c r="D1" s="78"/>
      <c r="E1" s="78"/>
      <c r="F1" s="78"/>
      <c r="G1" s="78"/>
      <c r="H1" s="78"/>
      <c r="I1" s="78"/>
      <c r="J1" s="78"/>
    </row>
    <row r="3" spans="1:12">
      <c r="A3" s="13" t="s">
        <v>142</v>
      </c>
      <c r="B3" s="13" t="s">
        <v>143</v>
      </c>
      <c r="C3" s="57" t="s">
        <v>144</v>
      </c>
      <c r="D3" s="13" t="s">
        <v>145</v>
      </c>
      <c r="E3" s="13" t="s">
        <v>147</v>
      </c>
      <c r="F3" s="13" t="s">
        <v>82</v>
      </c>
      <c r="G3" s="13" t="s">
        <v>83</v>
      </c>
      <c r="H3" s="13" t="s">
        <v>84</v>
      </c>
      <c r="I3" s="13" t="s">
        <v>85</v>
      </c>
      <c r="J3" s="13" t="s">
        <v>50</v>
      </c>
      <c r="K3" s="1" t="s">
        <v>86</v>
      </c>
    </row>
    <row r="4" spans="1:12">
      <c r="A4" s="54" t="str">
        <f>IF(User_Inputs!$D$11="","",
INDEX(
   CHOOSE(User_Inputs!$D$11,
      Appliance_Library!D4:D12,
      Appliance_Library!D13:D22,
      Appliance_Library!D23:D33,
      Appliance_Library!D34:D46,
      Appliance_Library!D47:D60,
      Appliance_Library!D61:D73,
      Appliance_Library!D74:D82,
      Appliance_Library!D83:D92,
      Appliance_Library!D93:D102,
      Appliance_Library!D103:D111,
      Appliance_Library!D112:D120,
      Appliance_Library!D121:D128,
      Appliance_Library!D129:D133,
      Appliance_Library!D134:D140,
      Appliance_Library!D141:D148,
      Appliance_Library!D149:D156,
      Appliance_Library!D157:D163,
      Appliance_Library!D164:D173,
      Appliance_Library!D174:D180,
      Appliance_Library!D181:D186,
      Appliance_Library!D187:D191,
      Appliance_Library!D192:D197,
      Appliance_Library!D198:D202,
      Appliance_Library!D203:D208,
      Appliance_Library!D209:D213,
      Appliance_Library!D214:D219,
      Appliance_Library!D220:D223,
      Appliance_Library!D224:D228,
      Appliance_Library!D229:D233,
      Appliance_Library!D234:D241,
      Appliance_Library!D242:D248,
      Appliance_Library!D249:D256,
      Appliance_Library!D257:D265,
      Appliance_Library!D266:D272,
      Appliance_Library!D273:D279,
      Appliance_Library!D280:D286,
      Appliance_Library!D287:D292,
      Appliance_Library!D293:D298,
      Appliance_Library!D299:D305,
      Appliance_Library!D306:D312
   ),
ROW()-ROW($D$4)+1))</f>
        <v>LED Bulbs</v>
      </c>
      <c r="B4" s="65">
        <f>IF(User_Inputs!$D$11="","",
INDEX(
   CHOOSE(User_Inputs!$D$11,
      Appliance_Library!E4:E12,
      Appliance_Library!E13:E22,
      Appliance_Library!E23:E33,
      Appliance_Library!E34:E46,
      Appliance_Library!E47:E60,
      Appliance_Library!E61:E73,
      Appliance_Library!E74:E82,
      Appliance_Library!E83:E92,
      Appliance_Library!E93:E102,
      Appliance_Library!E103:E111,
      Appliance_Library!E112:E120,
      Appliance_Library!E121:E128,
      Appliance_Library!E129:E133,
      Appliance_Library!E134:E140,
      Appliance_Library!E141:E148,
      Appliance_Library!E149:E156,
      Appliance_Library!E157:E163,
      Appliance_Library!E164:E173,
      Appliance_Library!E174:E180,
      Appliance_Library!E181:E186,
      Appliance_Library!E187:E191,
      Appliance_Library!E192:E197,
      Appliance_Library!E198:E202,
      Appliance_Library!E203:E208,
      Appliance_Library!E209:E213,
      Appliance_Library!E214:E219,
      Appliance_Library!E220:E223,
      Appliance_Library!E224:E228,
      Appliance_Library!E229:E233,
      Appliance_Library!E234:E241,
      Appliance_Library!E242:E248,
      Appliance_Library!E249:E256,
      Appliance_Library!E257:E265,
      Appliance_Library!E266:E272,
      Appliance_Library!E273:E279,
      Appliance_Library!E280:E286,
      Appliance_Library!E287:E292,
      Appliance_Library!E293:E298,
      Appliance_Library!E299:E305,
      Appliance_Library!E306:E312
   ),
ROW()-ROW($E$4)+1))</f>
        <v>12</v>
      </c>
      <c r="C4" s="65">
        <f>IF(User_Inputs!$D$11="","",
INDEX(
   CHOOSE(User_Inputs!$D$11,
      Appliance_Library!F4:F12,
      Appliance_Library!F13:F22,
      Appliance_Library!F23:F33,
      Appliance_Library!F34:F46,
      Appliance_Library!F47:F60,
      Appliance_Library!F61:F73,
      Appliance_Library!F74:F82,
      Appliance_Library!F83:F92,
      Appliance_Library!F93:F102,
      Appliance_Library!F103:F111,
      Appliance_Library!F112:F120,
      Appliance_Library!F121:F128,
      Appliance_Library!F129:F133,
      Appliance_Library!F134:F140,
      Appliance_Library!F141:F148,
      Appliance_Library!F149:F156,
      Appliance_Library!F157:F163,
      Appliance_Library!F164:F173,
      Appliance_Library!F174:F180,
      Appliance_Library!F181:F186,
      Appliance_Library!F187:F191,
      Appliance_Library!F192:F197,
      Appliance_Library!F198:F202,
      Appliance_Library!F203:F208,
      Appliance_Library!F209:F213,
      Appliance_Library!F214:F219,
      Appliance_Library!F220:F223,
      Appliance_Library!F224:F228,
      Appliance_Library!F229:F233,
      Appliance_Library!F234:F241,
      Appliance_Library!F242:F248,
      Appliance_Library!F249:F256,
      Appliance_Library!F257:F265,
      Appliance_Library!F266:F272,
      Appliance_Library!F273:F279,
      Appliance_Library!F280:F286,
      Appliance_Library!F287:F292,
      Appliance_Library!F293:F298,
      Appliance_Library!F299:F305,
      Appliance_Library!F306:F312
   ),
ROW()-ROW($F$4)+1))</f>
        <v>10</v>
      </c>
      <c r="D4" s="65">
        <f>IF(User_Inputs!$D$11="","",
INDEX(
   CHOOSE(User_Inputs!$D$11,
      Appliance_Library!G4:G12,
      Appliance_Library!G13:G22,
      Appliance_Library!G23:G33,
      Appliance_Library!G34:G46,
      Appliance_Library!G47:G60,
      Appliance_Library!G61:G73,
      Appliance_Library!G74:G82,
      Appliance_Library!G83:G92,
      Appliance_Library!G93:G102,
      Appliance_Library!G103:G111,
      Appliance_Library!G112:G120,
      Appliance_Library!G121:G128,
      Appliance_Library!G129:G133,
      Appliance_Library!G134:G140,
      Appliance_Library!G141:G148,
      Appliance_Library!G149:G156,
      Appliance_Library!G157:G163,
      Appliance_Library!G164:G173,
      Appliance_Library!G174:G180,
      Appliance_Library!G181:G186,
      Appliance_Library!G187:G191,
      Appliance_Library!G192:G197,
      Appliance_Library!G198:G202,
      Appliance_Library!G203:G208,
      Appliance_Library!G209:G213,
      Appliance_Library!G214:G219,
      Appliance_Library!G220:G223,
      Appliance_Library!G224:G228,
      Appliance_Library!G229:G233,
      Appliance_Library!G234:G241,
      Appliance_Library!G242:G248,
      Appliance_Library!G249:G256,
      Appliance_Library!G257:G265,
      Appliance_Library!G266:G272,
      Appliance_Library!G273:G279,
      Appliance_Library!G280:G286,
      Appliance_Library!G287:G292,
      Appliance_Library!G293:G298,
      Appliance_Library!G299:G305,
      Appliance_Library!G306:G312
   ),
ROW()-ROW($G$4)+1))</f>
        <v>6</v>
      </c>
      <c r="E4" s="65">
        <f>IF(User_Inputs!$D$11="","",
INDEX(
   CHOOSE(User_Inputs!$D$11,
      Appliance_Library!H4:H12,
      Appliance_Library!H13:H22,
      Appliance_Library!H23:H33,
      Appliance_Library!H34:H46,
      Appliance_Library!H47:H60,
      Appliance_Library!H61:H73,
      Appliance_Library!H74:H82,
      Appliance_Library!H83:H92,
      Appliance_Library!H93:H102,
      Appliance_Library!H103:H111,
      Appliance_Library!H112:H120,
      Appliance_Library!H121:H128,
      Appliance_Library!H129:H133,
      Appliance_Library!H134:H140,
      Appliance_Library!H141:H148,
      Appliance_Library!H149:H156,
      Appliance_Library!H157:H163,
      Appliance_Library!H164:H173,
      Appliance_Library!H174:H180,
      Appliance_Library!H181:H186,
      Appliance_Library!H187:H191,
      Appliance_Library!H192:H197,
      Appliance_Library!H198:H202,
      Appliance_Library!H203:H208,
      Appliance_Library!H209:H213,
      Appliance_Library!H214:H219,
      Appliance_Library!H220:H223,
      Appliance_Library!H224:H228,
      Appliance_Library!H229:H233,
      Appliance_Library!H234:H241,
      Appliance_Library!H242:H248,
      Appliance_Library!H249:H256,
      Appliance_Library!H257:H265,
      Appliance_Library!H266:H272,
      Appliance_Library!H273:H279,
      Appliance_Library!H280:H286,
      Appliance_Library!H287:H292,
      Appliance_Library!H293:H298,
      Appliance_Library!H299:H305,
      Appliance_Library!H306:H312
   ),
ROW()-ROW($H$4)+1))</f>
        <v>1</v>
      </c>
      <c r="F4" s="14">
        <f t="shared" ref="F4:F23" si="0">IFERROR(C4*E4,0)</f>
        <v>10</v>
      </c>
      <c r="G4" s="75">
        <f t="shared" ref="G4:G23" si="1">IFERROR(F4*B4*D4/1000,0)</f>
        <v>0.72</v>
      </c>
      <c r="H4" s="14">
        <f t="shared" ref="H4:H23" si="2">G4*30</f>
        <v>21.599999999999998</v>
      </c>
      <c r="I4" s="18">
        <f t="shared" ref="I4:I22" si="3">IFERROR(F4*B4,0)</f>
        <v>120</v>
      </c>
      <c r="K4" t="s">
        <v>87</v>
      </c>
      <c r="L4" s="17">
        <f>SUM(G4:G23)</f>
        <v>8.0549999999999997</v>
      </c>
    </row>
    <row r="5" spans="1:12">
      <c r="A5" s="54" t="str">
        <f>IF(User_Inputs!$D$11="","",
INDEX(
   CHOOSE(User_Inputs!$D$11,
      Appliance_Library!D5:D13,
      Appliance_Library!D14:D23,
      Appliance_Library!D24:D34,
      Appliance_Library!D35:D47,
      Appliance_Library!D48:D61,
      Appliance_Library!D62:D74,
      Appliance_Library!D75:D83,
      Appliance_Library!D84:D93,
      Appliance_Library!D94:D103,
      Appliance_Library!D104:D112,
      Appliance_Library!D113:D121,
      Appliance_Library!D122:D129,
      Appliance_Library!D130:D134,
      Appliance_Library!D135:D141,
      Appliance_Library!D142:D149,
      Appliance_Library!D150:D157,
      Appliance_Library!D158:D164,
      Appliance_Library!D165:D174,
      Appliance_Library!D175:D181,
      Appliance_Library!D182:D187,
      Appliance_Library!D188:D192,
      Appliance_Library!D193:D198,
      Appliance_Library!D199:D203,
      Appliance_Library!D204:D209,
      Appliance_Library!D210:D214,
      Appliance_Library!D215:D220,
      Appliance_Library!D221:D224,
      Appliance_Library!D225:D229,
      Appliance_Library!D230:D234,
      Appliance_Library!D235:D242,
      Appliance_Library!D243:D249,
      Appliance_Library!D250:D257,
      Appliance_Library!D258:D266,
      Appliance_Library!D267:D273,
      Appliance_Library!D274:D280,
      Appliance_Library!D281:D287,
      Appliance_Library!D288:D293,
      Appliance_Library!D294:D299,
      Appliance_Library!D300:D306,
      Appliance_Library!D307:D313
   ),
ROW()-ROW($D$4)+1))</f>
        <v>Television</v>
      </c>
      <c r="B5" s="65">
        <f>IF(User_Inputs!$D$11="","",
INDEX(
   CHOOSE(User_Inputs!$D$11,
      Appliance_Library!E5:E13,
      Appliance_Library!E14:E23,
      Appliance_Library!E24:E34,
      Appliance_Library!E35:E47,
      Appliance_Library!E48:E61,
      Appliance_Library!E62:E74,
      Appliance_Library!E75:E83,
      Appliance_Library!E84:E93,
      Appliance_Library!E94:E103,
      Appliance_Library!E104:E112,
      Appliance_Library!E113:E121,
      Appliance_Library!E122:E129,
      Appliance_Library!E130:E134,
      Appliance_Library!E135:E141,
      Appliance_Library!E142:E149,
      Appliance_Library!E150:E157,
      Appliance_Library!E158:E164,
      Appliance_Library!E165:E174,
      Appliance_Library!E175:E181,
      Appliance_Library!E182:E187,
      Appliance_Library!E188:E192,
      Appliance_Library!E193:E198,
      Appliance_Library!E199:E203,
      Appliance_Library!E204:E209,
      Appliance_Library!E210:E214,
      Appliance_Library!E215:E220,
      Appliance_Library!E221:E224,
      Appliance_Library!E225:E229,
      Appliance_Library!E230:E234,
      Appliance_Library!E235:E242,
      Appliance_Library!E243:E249,
      Appliance_Library!E250:E257,
      Appliance_Library!E258:E266,
      Appliance_Library!E267:E273,
      Appliance_Library!E274:E280,
      Appliance_Library!E281:E287,
      Appliance_Library!E288:E293,
      Appliance_Library!E294:E299,
      Appliance_Library!E300:E306,
      Appliance_Library!E307:E313
   ),
ROW()-ROW($E$4)+1))</f>
        <v>1</v>
      </c>
      <c r="C5" s="65">
        <f>IF(User_Inputs!$D$11="","",
INDEX(
   CHOOSE(User_Inputs!$D$11,
      Appliance_Library!F5:F13,
      Appliance_Library!F14:F23,
      Appliance_Library!F24:F34,
      Appliance_Library!F35:F47,
      Appliance_Library!F48:F61,
      Appliance_Library!F62:F74,
      Appliance_Library!F75:F83,
      Appliance_Library!F84:F93,
      Appliance_Library!F94:F103,
      Appliance_Library!F104:F112,
      Appliance_Library!F113:F121,
      Appliance_Library!F122:F129,
      Appliance_Library!F130:F134,
      Appliance_Library!F135:F141,
      Appliance_Library!F142:F149,
      Appliance_Library!F150:F157,
      Appliance_Library!F158:F164,
      Appliance_Library!F165:F174,
      Appliance_Library!F175:F181,
      Appliance_Library!F182:F187,
      Appliance_Library!F188:F192,
      Appliance_Library!F193:F198,
      Appliance_Library!F199:F203,
      Appliance_Library!F204:F209,
      Appliance_Library!F210:F214,
      Appliance_Library!F215:F220,
      Appliance_Library!F221:F224,
      Appliance_Library!F225:F229,
      Appliance_Library!F230:F234,
      Appliance_Library!F235:F242,
      Appliance_Library!F243:F249,
      Appliance_Library!F250:F257,
      Appliance_Library!F258:F266,
      Appliance_Library!F267:F273,
      Appliance_Library!F274:F280,
      Appliance_Library!F281:F287,
      Appliance_Library!F288:F293,
      Appliance_Library!F294:F299,
      Appliance_Library!F300:F306,
      Appliance_Library!F307:F313
   ),
ROW()-ROW($F$4)+1))</f>
        <v>100</v>
      </c>
      <c r="D5" s="65">
        <f>IF(User_Inputs!$D$11="","",
INDEX(
   CHOOSE(User_Inputs!$D$11,
      Appliance_Library!G5:G13,
      Appliance_Library!G14:G23,
      Appliance_Library!G24:G34,
      Appliance_Library!G35:G47,
      Appliance_Library!G48:G61,
      Appliance_Library!G62:G74,
      Appliance_Library!G75:G83,
      Appliance_Library!G84:G93,
      Appliance_Library!G94:G103,
      Appliance_Library!G104:G112,
      Appliance_Library!G113:G121,
      Appliance_Library!G122:G129,
      Appliance_Library!G130:G134,
      Appliance_Library!G135:G141,
      Appliance_Library!G142:G149,
      Appliance_Library!G150:G157,
      Appliance_Library!G158:G164,
      Appliance_Library!G165:G174,
      Appliance_Library!G175:G181,
      Appliance_Library!G182:G187,
      Appliance_Library!G188:G192,
      Appliance_Library!G193:G198,
      Appliance_Library!G199:G203,
      Appliance_Library!G204:G209,
      Appliance_Library!G210:G214,
      Appliance_Library!G215:G220,
      Appliance_Library!G221:G224,
      Appliance_Library!G225:G229,
      Appliance_Library!G230:G234,
      Appliance_Library!G235:G242,
      Appliance_Library!G243:G249,
      Appliance_Library!G250:G257,
      Appliance_Library!G258:G266,
      Appliance_Library!G267:G273,
      Appliance_Library!G274:G280,
      Appliance_Library!G281:G287,
      Appliance_Library!G288:G293,
      Appliance_Library!G294:G299,
      Appliance_Library!G300:G306,
      Appliance_Library!G307:G313
   ),
ROW()-ROW($G$4)+1))</f>
        <v>6</v>
      </c>
      <c r="E5" s="65">
        <f>IF(User_Inputs!$D$11="","",
INDEX(
   CHOOSE(User_Inputs!$D$11,
      Appliance_Library!H5:H13,
      Appliance_Library!H14:H23,
      Appliance_Library!H24:H34,
      Appliance_Library!H35:H47,
      Appliance_Library!H48:H61,
      Appliance_Library!H62:H74,
      Appliance_Library!H75:H83,
      Appliance_Library!H84:H93,
      Appliance_Library!H94:H103,
      Appliance_Library!H104:H112,
      Appliance_Library!H113:H121,
      Appliance_Library!H122:H129,
      Appliance_Library!H130:H134,
      Appliance_Library!H135:H141,
      Appliance_Library!H142:H149,
      Appliance_Library!H150:H157,
      Appliance_Library!H158:H164,
      Appliance_Library!H165:H174,
      Appliance_Library!H175:H181,
      Appliance_Library!H182:H187,
      Appliance_Library!H188:H192,
      Appliance_Library!H193:H198,
      Appliance_Library!H199:H203,
      Appliance_Library!H204:H209,
      Appliance_Library!H210:H214,
      Appliance_Library!H215:H220,
      Appliance_Library!H221:H224,
      Appliance_Library!H225:H229,
      Appliance_Library!H230:H234,
      Appliance_Library!H235:H242,
      Appliance_Library!H243:H249,
      Appliance_Library!H250:H257,
      Appliance_Library!H258:H266,
      Appliance_Library!H267:H273,
      Appliance_Library!H274:H280,
      Appliance_Library!H281:H287,
      Appliance_Library!H288:H293,
      Appliance_Library!H294:H299,
      Appliance_Library!H300:H306,
      Appliance_Library!H307:H313
   ),
ROW()-ROW($H$4)+1))</f>
        <v>1</v>
      </c>
      <c r="F5" s="14">
        <f t="shared" si="0"/>
        <v>100</v>
      </c>
      <c r="G5" s="75">
        <f t="shared" si="1"/>
        <v>0.6</v>
      </c>
      <c r="H5" s="14">
        <f t="shared" si="2"/>
        <v>18</v>
      </c>
      <c r="I5" s="18">
        <f t="shared" si="3"/>
        <v>100</v>
      </c>
      <c r="K5" t="s">
        <v>88</v>
      </c>
      <c r="L5" s="14">
        <f>SUM(H4:H23)</f>
        <v>241.65</v>
      </c>
    </row>
    <row r="6" spans="1:12">
      <c r="A6" s="54" t="str">
        <f>IF(User_Inputs!$D$11="","",
INDEX(
   CHOOSE(User_Inputs!$D$11,
      Appliance_Library!D6:D14,
      Appliance_Library!D15:D24,
      Appliance_Library!D25:D35,
      Appliance_Library!D36:D48,
      Appliance_Library!D49:D62,
      Appliance_Library!D63:D75,
      Appliance_Library!D76:D84,
      Appliance_Library!D85:D94,
      Appliance_Library!D95:D104,
      Appliance_Library!D105:D113,
      Appliance_Library!D114:D122,
      Appliance_Library!D123:D130,
      Appliance_Library!D131:D135,
      Appliance_Library!D136:D142,
      Appliance_Library!D143:D150,
      Appliance_Library!D151:D158,
      Appliance_Library!D159:D165,
      Appliance_Library!D166:D175,
      Appliance_Library!D176:D182,
      Appliance_Library!D183:D188,
      Appliance_Library!D189:D193,
      Appliance_Library!D194:D199,
      Appliance_Library!D200:D204,
      Appliance_Library!D205:D210,
      Appliance_Library!D211:D215,
      Appliance_Library!D216:D221,
      Appliance_Library!D222:D225,
      Appliance_Library!D226:D230,
      Appliance_Library!D231:D235,
      Appliance_Library!D236:D243,
      Appliance_Library!D244:D250,
      Appliance_Library!D251:D258,
      Appliance_Library!D259:D267,
      Appliance_Library!D268:D274,
      Appliance_Library!D275:D281,
      Appliance_Library!D282:D288,
      Appliance_Library!D289:D294,
      Appliance_Library!D295:D300,
      Appliance_Library!D301:D307,
      Appliance_Library!D308:D314
   ),
ROW()-ROW($D$4)+1))</f>
        <v>Refrigerator</v>
      </c>
      <c r="B6" s="65">
        <f>IF(User_Inputs!$D$11="","",
INDEX(
   CHOOSE(User_Inputs!$D$11,
      Appliance_Library!E6:E14,
      Appliance_Library!E15:E24,
      Appliance_Library!E25:E35,
      Appliance_Library!E36:E48,
      Appliance_Library!E49:E62,
      Appliance_Library!E63:E75,
      Appliance_Library!E76:E84,
      Appliance_Library!E85:E94,
      Appliance_Library!E95:E104,
      Appliance_Library!E105:E113,
      Appliance_Library!E114:E122,
      Appliance_Library!E123:E130,
      Appliance_Library!E131:E135,
      Appliance_Library!E136:E142,
      Appliance_Library!E143:E150,
      Appliance_Library!E151:E158,
      Appliance_Library!E159:E165,
      Appliance_Library!E166:E175,
      Appliance_Library!E176:E182,
      Appliance_Library!E183:E188,
      Appliance_Library!E189:E193,
      Appliance_Library!E194:E199,
      Appliance_Library!E200:E204,
      Appliance_Library!E205:E210,
      Appliance_Library!E211:E215,
      Appliance_Library!E216:E221,
      Appliance_Library!E222:E225,
      Appliance_Library!E226:E230,
      Appliance_Library!E231:E235,
      Appliance_Library!E236:E243,
      Appliance_Library!E244:E250,
      Appliance_Library!E251:E258,
      Appliance_Library!E259:E267,
      Appliance_Library!E268:E274,
      Appliance_Library!E275:E281,
      Appliance_Library!E282:E288,
      Appliance_Library!E289:E294,
      Appliance_Library!E295:E300,
      Appliance_Library!E301:E307,
      Appliance_Library!E308:E314
   ),
ROW()-ROW($E$4)+1))</f>
        <v>1</v>
      </c>
      <c r="C6" s="65">
        <f>IF(User_Inputs!$D$11="","",
INDEX(
   CHOOSE(User_Inputs!$D$11,
      Appliance_Library!F6:F14,
      Appliance_Library!F15:F24,
      Appliance_Library!F25:F35,
      Appliance_Library!F36:F48,
      Appliance_Library!F49:F62,
      Appliance_Library!F63:F75,
      Appliance_Library!F76:F84,
      Appliance_Library!F85:F94,
      Appliance_Library!F95:F104,
      Appliance_Library!F105:F113,
      Appliance_Library!F114:F122,
      Appliance_Library!F123:F130,
      Appliance_Library!F131:F135,
      Appliance_Library!F136:F142,
      Appliance_Library!F143:F150,
      Appliance_Library!F151:F158,
      Appliance_Library!F159:F165,
      Appliance_Library!F166:F175,
      Appliance_Library!F176:F182,
      Appliance_Library!F183:F188,
      Appliance_Library!F189:F193,
      Appliance_Library!F194:F199,
      Appliance_Library!F200:F204,
      Appliance_Library!F205:F210,
      Appliance_Library!F211:F215,
      Appliance_Library!F216:F221,
      Appliance_Library!F222:F225,
      Appliance_Library!F226:F230,
      Appliance_Library!F231:F235,
      Appliance_Library!F236:F243,
      Appliance_Library!F244:F250,
      Appliance_Library!F251:F258,
      Appliance_Library!F259:F267,
      Appliance_Library!F268:F274,
      Appliance_Library!F275:F281,
      Appliance_Library!F282:F288,
      Appliance_Library!F289:F294,
      Appliance_Library!F295:F300,
      Appliance_Library!F301:F307,
      Appliance_Library!F308:F314
   ),
ROW()-ROW($F$4)+1))</f>
        <v>150</v>
      </c>
      <c r="D6" s="65">
        <f>IF(User_Inputs!$D$11="","",
INDEX(
   CHOOSE(User_Inputs!$D$11,
      Appliance_Library!G6:G14,
      Appliance_Library!G15:G24,
      Appliance_Library!G25:G35,
      Appliance_Library!G36:G48,
      Appliance_Library!G49:G62,
      Appliance_Library!G63:G75,
      Appliance_Library!G76:G84,
      Appliance_Library!G85:G94,
      Appliance_Library!G95:G104,
      Appliance_Library!G105:G113,
      Appliance_Library!G114:G122,
      Appliance_Library!G123:G130,
      Appliance_Library!G131:G135,
      Appliance_Library!G136:G142,
      Appliance_Library!G143:G150,
      Appliance_Library!G151:G158,
      Appliance_Library!G159:G165,
      Appliance_Library!G166:G175,
      Appliance_Library!G176:G182,
      Appliance_Library!G183:G188,
      Appliance_Library!G189:G193,
      Appliance_Library!G194:G199,
      Appliance_Library!G200:G204,
      Appliance_Library!G205:G210,
      Appliance_Library!G211:G215,
      Appliance_Library!G216:G221,
      Appliance_Library!G222:G225,
      Appliance_Library!G226:G230,
      Appliance_Library!G231:G235,
      Appliance_Library!G236:G243,
      Appliance_Library!G244:G250,
      Appliance_Library!G251:G258,
      Appliance_Library!G259:G267,
      Appliance_Library!G268:G274,
      Appliance_Library!G275:G281,
      Appliance_Library!G282:G288,
      Appliance_Library!G289:G294,
      Appliance_Library!G295:G300,
      Appliance_Library!G301:G307,
      Appliance_Library!G308:G314
   ),
ROW()-ROW($G$4)+1))</f>
        <v>24</v>
      </c>
      <c r="E6" s="65">
        <f>IF(User_Inputs!$D$11="","",
INDEX(
   CHOOSE(User_Inputs!$D$11,
      Appliance_Library!H6:H14,
      Appliance_Library!H15:H24,
      Appliance_Library!H25:H35,
      Appliance_Library!H36:H48,
      Appliance_Library!H49:H62,
      Appliance_Library!H63:H75,
      Appliance_Library!H76:H84,
      Appliance_Library!H85:H94,
      Appliance_Library!H95:H104,
      Appliance_Library!H105:H113,
      Appliance_Library!H114:H122,
      Appliance_Library!H123:H130,
      Appliance_Library!H131:H135,
      Appliance_Library!H136:H142,
      Appliance_Library!H143:H150,
      Appliance_Library!H151:H158,
      Appliance_Library!H159:H165,
      Appliance_Library!H166:H175,
      Appliance_Library!H176:H182,
      Appliance_Library!H183:H188,
      Appliance_Library!H189:H193,
      Appliance_Library!H194:H199,
      Appliance_Library!H200:H204,
      Appliance_Library!H205:H210,
      Appliance_Library!H211:H215,
      Appliance_Library!H216:H221,
      Appliance_Library!H222:H225,
      Appliance_Library!H226:H230,
      Appliance_Library!H231:H235,
      Appliance_Library!H236:H243,
      Appliance_Library!H244:H250,
      Appliance_Library!H251:H258,
      Appliance_Library!H259:H267,
      Appliance_Library!H268:H274,
      Appliance_Library!H275:H281,
      Appliance_Library!H282:H288,
      Appliance_Library!H289:H294,
      Appliance_Library!H295:H300,
      Appliance_Library!H301:H307,
      Appliance_Library!H308:H314
   ),
ROW()-ROW($H$4)+1))</f>
        <v>0.4</v>
      </c>
      <c r="F6" s="14">
        <f t="shared" si="0"/>
        <v>60</v>
      </c>
      <c r="G6" s="75">
        <f t="shared" si="1"/>
        <v>1.44</v>
      </c>
      <c r="H6" s="14">
        <f t="shared" si="2"/>
        <v>43.199999999999996</v>
      </c>
      <c r="I6" s="18">
        <f t="shared" si="3"/>
        <v>60</v>
      </c>
      <c r="K6" t="s">
        <v>89</v>
      </c>
      <c r="L6" s="14">
        <f>SUM(I4:I23)/1000</f>
        <v>2.8849999999999998</v>
      </c>
    </row>
    <row r="7" spans="1:12">
      <c r="A7" s="54" t="str">
        <f>IF(User_Inputs!$D$11="","",
INDEX(
   CHOOSE(User_Inputs!$D$11,
      Appliance_Library!D7:D15,
      Appliance_Library!D16:D25,
      Appliance_Library!D26:D36,
      Appliance_Library!D37:D49,
      Appliance_Library!D50:D63,
      Appliance_Library!D64:D76,
      Appliance_Library!D77:D85,
      Appliance_Library!D86:D95,
      Appliance_Library!D96:D105,
      Appliance_Library!D106:D114,
      Appliance_Library!D115:D123,
      Appliance_Library!D124:D131,
      Appliance_Library!D132:D136,
      Appliance_Library!D137:D143,
      Appliance_Library!D144:D151,
      Appliance_Library!D152:D159,
      Appliance_Library!D160:D166,
      Appliance_Library!D167:D176,
      Appliance_Library!D177:D183,
      Appliance_Library!D184:D189,
      Appliance_Library!D190:D194,
      Appliance_Library!D195:D200,
      Appliance_Library!D201:D205,
      Appliance_Library!D206:D211,
      Appliance_Library!D212:D216,
      Appliance_Library!D217:D222,
      Appliance_Library!D223:D226,
      Appliance_Library!D227:D231,
      Appliance_Library!D232:D236,
      Appliance_Library!D237:D244,
      Appliance_Library!D245:D251,
      Appliance_Library!D252:D259,
      Appliance_Library!D260:D268,
      Appliance_Library!D269:D275,
      Appliance_Library!D276:D282,
      Appliance_Library!D283:D289,
      Appliance_Library!D290:D295,
      Appliance_Library!D296:D301,
      Appliance_Library!D302:D308,
      Appliance_Library!D309:D315
   ),
ROW()-ROW($D$4)+1))</f>
        <v>Laptop</v>
      </c>
      <c r="B7" s="65">
        <f>IF(User_Inputs!$D$11="","",
INDEX(
   CHOOSE(User_Inputs!$D$11,
      Appliance_Library!E7:E15,
      Appliance_Library!E16:E25,
      Appliance_Library!E26:E36,
      Appliance_Library!E37:E49,
      Appliance_Library!E50:E63,
      Appliance_Library!E64:E76,
      Appliance_Library!E77:E85,
      Appliance_Library!E86:E95,
      Appliance_Library!E96:E105,
      Appliance_Library!E106:E114,
      Appliance_Library!E115:E123,
      Appliance_Library!E124:E131,
      Appliance_Library!E132:E136,
      Appliance_Library!E137:E143,
      Appliance_Library!E144:E151,
      Appliance_Library!E152:E159,
      Appliance_Library!E160:E166,
      Appliance_Library!E167:E176,
      Appliance_Library!E177:E183,
      Appliance_Library!E184:E189,
      Appliance_Library!E190:E194,
      Appliance_Library!E195:E200,
      Appliance_Library!E201:E205,
      Appliance_Library!E206:E211,
      Appliance_Library!E212:E216,
      Appliance_Library!E217:E222,
      Appliance_Library!E223:E226,
      Appliance_Library!E227:E231,
      Appliance_Library!E232:E236,
      Appliance_Library!E237:E244,
      Appliance_Library!E245:E251,
      Appliance_Library!E252:E259,
      Appliance_Library!E260:E268,
      Appliance_Library!E269:E275,
      Appliance_Library!E276:E282,
      Appliance_Library!E283:E289,
      Appliance_Library!E290:E295,
      Appliance_Library!E296:E301,
      Appliance_Library!E302:E308,
      Appliance_Library!E309:E315
   ),
ROW()-ROW($E$4)+1))</f>
        <v>2</v>
      </c>
      <c r="C7" s="65">
        <f>IF(User_Inputs!$D$11="","",
INDEX(
   CHOOSE(User_Inputs!$D$11,
      Appliance_Library!F7:F15,
      Appliance_Library!F16:F25,
      Appliance_Library!F26:F36,
      Appliance_Library!F37:F49,
      Appliance_Library!F50:F63,
      Appliance_Library!F64:F76,
      Appliance_Library!F77:F85,
      Appliance_Library!F86:F95,
      Appliance_Library!F96:F105,
      Appliance_Library!F106:F114,
      Appliance_Library!F115:F123,
      Appliance_Library!F124:F131,
      Appliance_Library!F132:F136,
      Appliance_Library!F137:F143,
      Appliance_Library!F144:F151,
      Appliance_Library!F152:F159,
      Appliance_Library!F160:F166,
      Appliance_Library!F167:F176,
      Appliance_Library!F177:F183,
      Appliance_Library!F184:F189,
      Appliance_Library!F190:F194,
      Appliance_Library!F195:F200,
      Appliance_Library!F201:F205,
      Appliance_Library!F206:F211,
      Appliance_Library!F212:F216,
      Appliance_Library!F217:F222,
      Appliance_Library!F223:F226,
      Appliance_Library!F227:F231,
      Appliance_Library!F232:F236,
      Appliance_Library!F237:F244,
      Appliance_Library!F245:F251,
      Appliance_Library!F252:F259,
      Appliance_Library!F260:F268,
      Appliance_Library!F269:F275,
      Appliance_Library!F276:F282,
      Appliance_Library!F283:F289,
      Appliance_Library!F290:F295,
      Appliance_Library!F296:F301,
      Appliance_Library!F302:F308,
      Appliance_Library!F309:F315
   ),
ROW()-ROW($F$4)+1))</f>
        <v>65</v>
      </c>
      <c r="D7" s="65">
        <f>IF(User_Inputs!$D$11="","",
INDEX(
   CHOOSE(User_Inputs!$D$11,
      Appliance_Library!G7:G15,
      Appliance_Library!G16:G25,
      Appliance_Library!G26:G36,
      Appliance_Library!G37:G49,
      Appliance_Library!G50:G63,
      Appliance_Library!G64:G76,
      Appliance_Library!G77:G85,
      Appliance_Library!G86:G95,
      Appliance_Library!G96:G105,
      Appliance_Library!G106:G114,
      Appliance_Library!G115:G123,
      Appliance_Library!G124:G131,
      Appliance_Library!G132:G136,
      Appliance_Library!G137:G143,
      Appliance_Library!G144:G151,
      Appliance_Library!G152:G159,
      Appliance_Library!G160:G166,
      Appliance_Library!G167:G176,
      Appliance_Library!G177:G183,
      Appliance_Library!G184:G189,
      Appliance_Library!G190:G194,
      Appliance_Library!G195:G200,
      Appliance_Library!G201:G205,
      Appliance_Library!G206:G211,
      Appliance_Library!G212:G216,
      Appliance_Library!G217:G222,
      Appliance_Library!G223:G226,
      Appliance_Library!G227:G231,
      Appliance_Library!G232:G236,
      Appliance_Library!G237:G244,
      Appliance_Library!G245:G251,
      Appliance_Library!G252:G259,
      Appliance_Library!G260:G268,
      Appliance_Library!G269:G275,
      Appliance_Library!G276:G282,
      Appliance_Library!G283:G289,
      Appliance_Library!G290:G295,
      Appliance_Library!G296:G301,
      Appliance_Library!G302:G308,
      Appliance_Library!G309:G315
   ),
ROW()-ROW($G$4)+1))</f>
        <v>5</v>
      </c>
      <c r="E7" s="65">
        <f>IF(User_Inputs!$D$11="","",
INDEX(
   CHOOSE(User_Inputs!$D$11,
      Appliance_Library!H7:H15,
      Appliance_Library!H16:H25,
      Appliance_Library!H26:H36,
      Appliance_Library!H37:H49,
      Appliance_Library!H50:H63,
      Appliance_Library!H64:H76,
      Appliance_Library!H77:H85,
      Appliance_Library!H86:H95,
      Appliance_Library!H96:H105,
      Appliance_Library!H106:H114,
      Appliance_Library!H115:H123,
      Appliance_Library!H124:H131,
      Appliance_Library!H132:H136,
      Appliance_Library!H137:H143,
      Appliance_Library!H144:H151,
      Appliance_Library!H152:H159,
      Appliance_Library!H160:H166,
      Appliance_Library!H167:H176,
      Appliance_Library!H177:H183,
      Appliance_Library!H184:H189,
      Appliance_Library!H190:H194,
      Appliance_Library!H195:H200,
      Appliance_Library!H201:H205,
      Appliance_Library!H206:H211,
      Appliance_Library!H212:H216,
      Appliance_Library!H217:H222,
      Appliance_Library!H223:H226,
      Appliance_Library!H227:H231,
      Appliance_Library!H232:H236,
      Appliance_Library!H237:H244,
      Appliance_Library!H245:H251,
      Appliance_Library!H252:H259,
      Appliance_Library!H260:H268,
      Appliance_Library!H269:H275,
      Appliance_Library!H276:H282,
      Appliance_Library!H283:H289,
      Appliance_Library!H290:H295,
      Appliance_Library!H296:H301,
      Appliance_Library!H302:H308,
      Appliance_Library!H309:H315
   ),
ROW()-ROW($H$4)+1))</f>
        <v>1</v>
      </c>
      <c r="F7" s="14">
        <f t="shared" si="0"/>
        <v>65</v>
      </c>
      <c r="G7" s="75">
        <f t="shared" si="1"/>
        <v>0.65</v>
      </c>
      <c r="H7" s="14">
        <f t="shared" si="2"/>
        <v>19.5</v>
      </c>
      <c r="I7" s="18">
        <f t="shared" si="3"/>
        <v>130</v>
      </c>
      <c r="K7" t="s">
        <v>90</v>
      </c>
      <c r="L7" s="14">
        <f>L6*0.65</f>
        <v>1.8752499999999999</v>
      </c>
    </row>
    <row r="8" spans="1:12">
      <c r="A8" s="54" t="str">
        <f>IF(User_Inputs!$D$11="","",
INDEX(
   CHOOSE(User_Inputs!$D$11,
      Appliance_Library!D8:D16,
      Appliance_Library!D17:D26,
      Appliance_Library!D27:D37,
      Appliance_Library!D38:D50,
      Appliance_Library!D51:D64,
      Appliance_Library!D65:D77,
      Appliance_Library!D78:D86,
      Appliance_Library!D87:D96,
      Appliance_Library!D97:D106,
      Appliance_Library!D107:D115,
      Appliance_Library!D116:D124,
      Appliance_Library!D125:D132,
      Appliance_Library!D133:D137,
      Appliance_Library!D138:D144,
      Appliance_Library!D145:D152,
      Appliance_Library!D153:D160,
      Appliance_Library!D161:D167,
      Appliance_Library!D168:D177,
      Appliance_Library!D178:D184,
      Appliance_Library!D185:D190,
      Appliance_Library!D191:D195,
      Appliance_Library!D196:D201,
      Appliance_Library!D202:D206,
      Appliance_Library!D207:D212,
      Appliance_Library!D213:D217,
      Appliance_Library!D218:D223,
      Appliance_Library!D224:D227,
      Appliance_Library!D228:D232,
      Appliance_Library!D233:D237,
      Appliance_Library!D238:D245,
      Appliance_Library!D246:D252,
      Appliance_Library!D253:D260,
      Appliance_Library!D261:D269,
      Appliance_Library!D270:D276,
      Appliance_Library!D277:D283,
      Appliance_Library!D284:D290,
      Appliance_Library!D291:D296,
      Appliance_Library!D297:D302,
      Appliance_Library!D303:D309,
      Appliance_Library!D310:D316
   ),
ROW()-ROW($D$4)+1))</f>
        <v>Sound Bar</v>
      </c>
      <c r="B8" s="65">
        <f>IF(User_Inputs!$D$11="","",
INDEX(
   CHOOSE(User_Inputs!$D$11,
      Appliance_Library!E8:E16,
      Appliance_Library!E17:E26,
      Appliance_Library!E27:E37,
      Appliance_Library!E38:E50,
      Appliance_Library!E51:E64,
      Appliance_Library!E65:E77,
      Appliance_Library!E78:E86,
      Appliance_Library!E87:E96,
      Appliance_Library!E97:E106,
      Appliance_Library!E107:E115,
      Appliance_Library!E116:E124,
      Appliance_Library!E125:E132,
      Appliance_Library!E133:E137,
      Appliance_Library!E138:E144,
      Appliance_Library!E145:E152,
      Appliance_Library!E153:E160,
      Appliance_Library!E161:E167,
      Appliance_Library!E168:E177,
      Appliance_Library!E178:E184,
      Appliance_Library!E185:E190,
      Appliance_Library!E191:E195,
      Appliance_Library!E196:E201,
      Appliance_Library!E202:E206,
      Appliance_Library!E207:E212,
      Appliance_Library!E213:E217,
      Appliance_Library!E218:E223,
      Appliance_Library!E224:E227,
      Appliance_Library!E228:E232,
      Appliance_Library!E233:E237,
      Appliance_Library!E238:E245,
      Appliance_Library!E246:E252,
      Appliance_Library!E253:E260,
      Appliance_Library!E261:E269,
      Appliance_Library!E270:E276,
      Appliance_Library!E277:E283,
      Appliance_Library!E284:E290,
      Appliance_Library!E291:E296,
      Appliance_Library!E297:E302,
      Appliance_Library!E303:E309,
      Appliance_Library!E310:E316
   ),
ROW()-ROW($E$4)+1))</f>
        <v>1</v>
      </c>
      <c r="C8" s="65">
        <f>IF(User_Inputs!$D$11="","",
INDEX(
   CHOOSE(User_Inputs!$D$11,
      Appliance_Library!F8:F16,
      Appliance_Library!F17:F26,
      Appliance_Library!F27:F37,
      Appliance_Library!F38:F50,
      Appliance_Library!F51:F64,
      Appliance_Library!F65:F77,
      Appliance_Library!F78:F86,
      Appliance_Library!F87:F96,
      Appliance_Library!F97:F106,
      Appliance_Library!F107:F115,
      Appliance_Library!F116:F124,
      Appliance_Library!F125:F132,
      Appliance_Library!F133:F137,
      Appliance_Library!F138:F144,
      Appliance_Library!F145:F152,
      Appliance_Library!F153:F160,
      Appliance_Library!F161:F167,
      Appliance_Library!F168:F177,
      Appliance_Library!F178:F184,
      Appliance_Library!F185:F190,
      Appliance_Library!F191:F195,
      Appliance_Library!F196:F201,
      Appliance_Library!F202:F206,
      Appliance_Library!F207:F212,
      Appliance_Library!F213:F217,
      Appliance_Library!F218:F223,
      Appliance_Library!F224:F227,
      Appliance_Library!F228:F232,
      Appliance_Library!F233:F237,
      Appliance_Library!F238:F245,
      Appliance_Library!F246:F252,
      Appliance_Library!F253:F260,
      Appliance_Library!F261:F269,
      Appliance_Library!F270:F276,
      Appliance_Library!F277:F283,
      Appliance_Library!F284:F290,
      Appliance_Library!F291:F296,
      Appliance_Library!F297:F302,
      Appliance_Library!F303:F309,
      Appliance_Library!F310:F316
   ),
ROW()-ROW($F$4)+1))</f>
        <v>50</v>
      </c>
      <c r="D8" s="65">
        <f>IF(User_Inputs!$D$11="","",
INDEX(
   CHOOSE(User_Inputs!$D$11,
      Appliance_Library!G8:G16,
      Appliance_Library!G17:G26,
      Appliance_Library!G27:G37,
      Appliance_Library!G38:G50,
      Appliance_Library!G51:G64,
      Appliance_Library!G65:G77,
      Appliance_Library!G78:G86,
      Appliance_Library!G87:G96,
      Appliance_Library!G97:G106,
      Appliance_Library!G107:G115,
      Appliance_Library!G116:G124,
      Appliance_Library!G125:G132,
      Appliance_Library!G133:G137,
      Appliance_Library!G138:G144,
      Appliance_Library!G145:G152,
      Appliance_Library!G153:G160,
      Appliance_Library!G161:G167,
      Appliance_Library!G168:G177,
      Appliance_Library!G178:G184,
      Appliance_Library!G185:G190,
      Appliance_Library!G191:G195,
      Appliance_Library!G196:G201,
      Appliance_Library!G202:G206,
      Appliance_Library!G207:G212,
      Appliance_Library!G213:G217,
      Appliance_Library!G218:G223,
      Appliance_Library!G224:G227,
      Appliance_Library!G228:G232,
      Appliance_Library!G233:G237,
      Appliance_Library!G238:G245,
      Appliance_Library!G246:G252,
      Appliance_Library!G253:G260,
      Appliance_Library!G261:G269,
      Appliance_Library!G270:G276,
      Appliance_Library!G277:G283,
      Appliance_Library!G284:G290,
      Appliance_Library!G291:G296,
      Appliance_Library!G297:G302,
      Appliance_Library!G303:G309,
      Appliance_Library!G310:G316
   ),
ROW()-ROW($G$4)+1))</f>
        <v>2</v>
      </c>
      <c r="E8" s="65">
        <f>IF(User_Inputs!$D$11="","",
INDEX(
   CHOOSE(User_Inputs!$D$11,
      Appliance_Library!H8:H16,
      Appliance_Library!H17:H26,
      Appliance_Library!H27:H37,
      Appliance_Library!H38:H50,
      Appliance_Library!H51:H64,
      Appliance_Library!H65:H77,
      Appliance_Library!H78:H86,
      Appliance_Library!H87:H96,
      Appliance_Library!H97:H106,
      Appliance_Library!H107:H115,
      Appliance_Library!H116:H124,
      Appliance_Library!H125:H132,
      Appliance_Library!H133:H137,
      Appliance_Library!H138:H144,
      Appliance_Library!H145:H152,
      Appliance_Library!H153:H160,
      Appliance_Library!H161:H167,
      Appliance_Library!H168:H177,
      Appliance_Library!H178:H184,
      Appliance_Library!H185:H190,
      Appliance_Library!H191:H195,
      Appliance_Library!H196:H201,
      Appliance_Library!H202:H206,
      Appliance_Library!H207:H212,
      Appliance_Library!H213:H217,
      Appliance_Library!H218:H223,
      Appliance_Library!H224:H227,
      Appliance_Library!H228:H232,
      Appliance_Library!H233:H237,
      Appliance_Library!H238:H245,
      Appliance_Library!H246:H252,
      Appliance_Library!H253:H260,
      Appliance_Library!H261:H269,
      Appliance_Library!H270:H276,
      Appliance_Library!H277:H283,
      Appliance_Library!H284:H290,
      Appliance_Library!H291:H296,
      Appliance_Library!H297:H302,
      Appliance_Library!H303:H309,
      Appliance_Library!H310:H316
   ),
ROW()-ROW($H$4)+1))</f>
        <v>1</v>
      </c>
      <c r="F8" s="14">
        <f t="shared" si="0"/>
        <v>50</v>
      </c>
      <c r="G8" s="75">
        <f t="shared" si="1"/>
        <v>0.1</v>
      </c>
      <c r="H8" s="14">
        <f t="shared" si="2"/>
        <v>3</v>
      </c>
      <c r="I8" s="18">
        <f t="shared" si="3"/>
        <v>50</v>
      </c>
    </row>
    <row r="9" spans="1:12">
      <c r="A9" s="54" t="str">
        <f>IF(User_Inputs!$D$11="","",
INDEX(
   CHOOSE(User_Inputs!$D$11,
      Appliance_Library!D9:D17,
      Appliance_Library!D18:D27,
      Appliance_Library!D28:D38,
      Appliance_Library!D39:D51,
      Appliance_Library!D52:D65,
      Appliance_Library!D66:D78,
      Appliance_Library!D79:D87,
      Appliance_Library!D88:D97,
      Appliance_Library!D98:D107,
      Appliance_Library!D108:D116,
      Appliance_Library!D117:D125,
      Appliance_Library!D126:D133,
      Appliance_Library!D134:D138,
      Appliance_Library!D139:D145,
      Appliance_Library!D146:D153,
      Appliance_Library!D154:D161,
      Appliance_Library!D162:D168,
      Appliance_Library!D169:D178,
      Appliance_Library!D179:D185,
      Appliance_Library!D186:D191,
      Appliance_Library!D192:D196,
      Appliance_Library!D197:D202,
      Appliance_Library!D203:D207,
      Appliance_Library!D208:D213,
      Appliance_Library!D214:D218,
      Appliance_Library!D219:D224,
      Appliance_Library!D225:D228,
      Appliance_Library!D229:D233,
      Appliance_Library!D234:D238,
      Appliance_Library!D239:D246,
      Appliance_Library!D247:D253,
      Appliance_Library!D254:D261,
      Appliance_Library!D262:D270,
      Appliance_Library!D271:D277,
      Appliance_Library!D278:D284,
      Appliance_Library!D285:D291,
      Appliance_Library!D292:D297,
      Appliance_Library!D298:D303,
      Appliance_Library!D304:D310,
      Appliance_Library!D311:D317
   ),
ROW()-ROW($D$4)+1))</f>
        <v>Water Pump</v>
      </c>
      <c r="B9" s="65">
        <f>IF(User_Inputs!$D$11="","",
INDEX(
   CHOOSE(User_Inputs!$D$11,
      Appliance_Library!E9:E17,
      Appliance_Library!E18:E27,
      Appliance_Library!E28:E38,
      Appliance_Library!E39:E51,
      Appliance_Library!E52:E65,
      Appliance_Library!E66:E78,
      Appliance_Library!E79:E87,
      Appliance_Library!E88:E97,
      Appliance_Library!E98:E107,
      Appliance_Library!E108:E116,
      Appliance_Library!E117:E125,
      Appliance_Library!E126:E133,
      Appliance_Library!E134:E138,
      Appliance_Library!E139:E145,
      Appliance_Library!E146:E153,
      Appliance_Library!E154:E161,
      Appliance_Library!E162:E168,
      Appliance_Library!E169:E178,
      Appliance_Library!E179:E185,
      Appliance_Library!E186:E191,
      Appliance_Library!E192:E196,
      Appliance_Library!E197:E202,
      Appliance_Library!E203:E207,
      Appliance_Library!E208:E213,
      Appliance_Library!E214:E218,
      Appliance_Library!E219:E224,
      Appliance_Library!E225:E228,
      Appliance_Library!E229:E233,
      Appliance_Library!E234:E238,
      Appliance_Library!E239:E246,
      Appliance_Library!E247:E253,
      Appliance_Library!E254:E261,
      Appliance_Library!E262:E270,
      Appliance_Library!E271:E277,
      Appliance_Library!E278:E284,
      Appliance_Library!E285:E291,
      Appliance_Library!E292:E297,
      Appliance_Library!E298:E303,
      Appliance_Library!E304:E310,
      Appliance_Library!E311:E317
   ),
ROW()-ROW($E$4)+1))</f>
        <v>1</v>
      </c>
      <c r="C9" s="65">
        <f>IF(User_Inputs!$D$11="","",
INDEX(
   CHOOSE(User_Inputs!$D$11,
      Appliance_Library!F9:F17,
      Appliance_Library!F18:F27,
      Appliance_Library!F28:F38,
      Appliance_Library!F39:F51,
      Appliance_Library!F52:F65,
      Appliance_Library!F66:F78,
      Appliance_Library!F79:F87,
      Appliance_Library!F88:F97,
      Appliance_Library!F98:F107,
      Appliance_Library!F108:F116,
      Appliance_Library!F117:F125,
      Appliance_Library!F126:F133,
      Appliance_Library!F134:F138,
      Appliance_Library!F139:F145,
      Appliance_Library!F146:F153,
      Appliance_Library!F154:F161,
      Appliance_Library!F162:F168,
      Appliance_Library!F169:F178,
      Appliance_Library!F179:F185,
      Appliance_Library!F186:F191,
      Appliance_Library!F192:F196,
      Appliance_Library!F197:F202,
      Appliance_Library!F203:F207,
      Appliance_Library!F208:F213,
      Appliance_Library!F214:F218,
      Appliance_Library!F219:F224,
      Appliance_Library!F225:F228,
      Appliance_Library!F229:F233,
      Appliance_Library!F234:F238,
      Appliance_Library!F239:F246,
      Appliance_Library!F247:F253,
      Appliance_Library!F254:F261,
      Appliance_Library!F262:F270,
      Appliance_Library!F271:F277,
      Appliance_Library!F278:F284,
      Appliance_Library!F285:F291,
      Appliance_Library!F292:F297,
      Appliance_Library!F298:F303,
      Appliance_Library!F304:F310,
      Appliance_Library!F311:F317
   ),
ROW()-ROW($F$4)+1))</f>
        <v>750</v>
      </c>
      <c r="D9" s="65">
        <f>IF(User_Inputs!$D$11="","",
INDEX(
   CHOOSE(User_Inputs!$D$11,
      Appliance_Library!G9:G17,
      Appliance_Library!G18:G27,
      Appliance_Library!G28:G38,
      Appliance_Library!G39:G51,
      Appliance_Library!G52:G65,
      Appliance_Library!G66:G78,
      Appliance_Library!G79:G87,
      Appliance_Library!G88:G97,
      Appliance_Library!G98:G107,
      Appliance_Library!G108:G116,
      Appliance_Library!G117:G125,
      Appliance_Library!G126:G133,
      Appliance_Library!G134:G138,
      Appliance_Library!G139:G145,
      Appliance_Library!G146:G153,
      Appliance_Library!G154:G161,
      Appliance_Library!G162:G168,
      Appliance_Library!G169:G178,
      Appliance_Library!G179:G185,
      Appliance_Library!G186:G191,
      Appliance_Library!G192:G196,
      Appliance_Library!G197:G202,
      Appliance_Library!G203:G207,
      Appliance_Library!G208:G213,
      Appliance_Library!G214:G218,
      Appliance_Library!G219:G224,
      Appliance_Library!G225:G228,
      Appliance_Library!G229:G233,
      Appliance_Library!G234:G238,
      Appliance_Library!G239:G246,
      Appliance_Library!G247:G253,
      Appliance_Library!G254:G261,
      Appliance_Library!G262:G270,
      Appliance_Library!G271:G277,
      Appliance_Library!G278:G284,
      Appliance_Library!G285:G291,
      Appliance_Library!G292:G297,
      Appliance_Library!G298:G303,
      Appliance_Library!G304:G310,
      Appliance_Library!G311:G317
   ),
ROW()-ROW($G$4)+1))</f>
        <v>0.5</v>
      </c>
      <c r="E9" s="65">
        <f>IF(User_Inputs!$D$11="","",
INDEX(
   CHOOSE(User_Inputs!$D$11,
      Appliance_Library!H9:H17,
      Appliance_Library!H18:H27,
      Appliance_Library!H28:H38,
      Appliance_Library!H39:H51,
      Appliance_Library!H52:H65,
      Appliance_Library!H66:H78,
      Appliance_Library!H79:H87,
      Appliance_Library!H88:H97,
      Appliance_Library!H98:H107,
      Appliance_Library!H108:H116,
      Appliance_Library!H117:H125,
      Appliance_Library!H126:H133,
      Appliance_Library!H134:H138,
      Appliance_Library!H139:H145,
      Appliance_Library!H146:H153,
      Appliance_Library!H154:H161,
      Appliance_Library!H162:H168,
      Appliance_Library!H169:H178,
      Appliance_Library!H179:H185,
      Appliance_Library!H186:H191,
      Appliance_Library!H192:H196,
      Appliance_Library!H197:H202,
      Appliance_Library!H203:H207,
      Appliance_Library!H208:H213,
      Appliance_Library!H214:H218,
      Appliance_Library!H219:H224,
      Appliance_Library!H225:H228,
      Appliance_Library!H229:H233,
      Appliance_Library!H234:H238,
      Appliance_Library!H239:H246,
      Appliance_Library!H247:H253,
      Appliance_Library!H254:H261,
      Appliance_Library!H262:H270,
      Appliance_Library!H271:H277,
      Appliance_Library!H278:H284,
      Appliance_Library!H285:H291,
      Appliance_Library!H292:H297,
      Appliance_Library!H298:H303,
      Appliance_Library!H304:H310,
      Appliance_Library!H311:H317
   ),
ROW()-ROW($H$4)+1))</f>
        <v>1</v>
      </c>
      <c r="F9" s="14">
        <f t="shared" si="0"/>
        <v>750</v>
      </c>
      <c r="G9" s="75">
        <f t="shared" si="1"/>
        <v>0.375</v>
      </c>
      <c r="H9" s="14">
        <f t="shared" si="2"/>
        <v>11.25</v>
      </c>
      <c r="I9" s="18">
        <f t="shared" si="3"/>
        <v>750</v>
      </c>
    </row>
    <row r="10" spans="1:12">
      <c r="A10" s="54" t="str">
        <f>IF(User_Inputs!$D$11="","",
INDEX(
   CHOOSE(User_Inputs!$D$11,
      Appliance_Library!D10:D18,
      Appliance_Library!D19:D28,
      Appliance_Library!D29:D39,
      Appliance_Library!D40:D52,
      Appliance_Library!D53:D66,
      Appliance_Library!D67:D79,
      Appliance_Library!D80:D88,
      Appliance_Library!D89:D98,
      Appliance_Library!D99:D108,
      Appliance_Library!D109:D117,
      Appliance_Library!D118:D126,
      Appliance_Library!D127:D134,
      Appliance_Library!D135:D139,
      Appliance_Library!D140:D146,
      Appliance_Library!D147:D154,
      Appliance_Library!D155:D162,
      Appliance_Library!D163:D169,
      Appliance_Library!D170:D179,
      Appliance_Library!D180:D186,
      Appliance_Library!D187:D192,
      Appliance_Library!D193:D197,
      Appliance_Library!D198:D203,
      Appliance_Library!D204:D208,
      Appliance_Library!D209:D214,
      Appliance_Library!D215:D219,
      Appliance_Library!D220:D225,
      Appliance_Library!D226:D229,
      Appliance_Library!D230:D234,
      Appliance_Library!D235:D239,
      Appliance_Library!D240:D247,
      Appliance_Library!D248:D254,
      Appliance_Library!D255:D262,
      Appliance_Library!D263:D271,
      Appliance_Library!D272:D278,
      Appliance_Library!D279:D285,
      Appliance_Library!D286:D292,
      Appliance_Library!D293:D298,
      Appliance_Library!D299:D304,
      Appliance_Library!D305:D311,
      Appliance_Library!D312:D318
   ),
ROW()-ROW($D$4)+1))</f>
        <v>Fans</v>
      </c>
      <c r="B10" s="65">
        <f>IF(User_Inputs!$D$11="","",
INDEX(
   CHOOSE(User_Inputs!$D$11,
      Appliance_Library!E10:E18,
      Appliance_Library!E19:E28,
      Appliance_Library!E29:E39,
      Appliance_Library!E40:E52,
      Appliance_Library!E53:E66,
      Appliance_Library!E67:E79,
      Appliance_Library!E80:E88,
      Appliance_Library!E89:E98,
      Appliance_Library!E99:E108,
      Appliance_Library!E109:E117,
      Appliance_Library!E118:E126,
      Appliance_Library!E127:E134,
      Appliance_Library!E135:E139,
      Appliance_Library!E140:E146,
      Appliance_Library!E147:E154,
      Appliance_Library!E155:E162,
      Appliance_Library!E163:E169,
      Appliance_Library!E170:E179,
      Appliance_Library!E180:E186,
      Appliance_Library!E187:E192,
      Appliance_Library!E193:E197,
      Appliance_Library!E198:E203,
      Appliance_Library!E204:E208,
      Appliance_Library!E209:E214,
      Appliance_Library!E215:E219,
      Appliance_Library!E220:E225,
      Appliance_Library!E226:E229,
      Appliance_Library!E230:E234,
      Appliance_Library!E235:E239,
      Appliance_Library!E240:E247,
      Appliance_Library!E248:E254,
      Appliance_Library!E255:E262,
      Appliance_Library!E263:E271,
      Appliance_Library!E272:E278,
      Appliance_Library!E279:E285,
      Appliance_Library!E286:E292,
      Appliance_Library!E293:E298,
      Appliance_Library!E299:E304,
      Appliance_Library!E305:E311,
      Appliance_Library!E312:E318
   ),
ROW()-ROW($E$4)+1))</f>
        <v>6</v>
      </c>
      <c r="C10" s="65">
        <f>IF(User_Inputs!$D$11="","",
INDEX(
   CHOOSE(User_Inputs!$D$11,
      Appliance_Library!F10:F18,
      Appliance_Library!F19:F28,
      Appliance_Library!F29:F39,
      Appliance_Library!F40:F52,
      Appliance_Library!F53:F66,
      Appliance_Library!F67:F79,
      Appliance_Library!F80:F88,
      Appliance_Library!F89:F98,
      Appliance_Library!F99:F108,
      Appliance_Library!F109:F117,
      Appliance_Library!F118:F126,
      Appliance_Library!F127:F134,
      Appliance_Library!F135:F139,
      Appliance_Library!F140:F146,
      Appliance_Library!F147:F154,
      Appliance_Library!F155:F162,
      Appliance_Library!F163:F169,
      Appliance_Library!F170:F179,
      Appliance_Library!F180:F186,
      Appliance_Library!F187:F192,
      Appliance_Library!F193:F197,
      Appliance_Library!F198:F203,
      Appliance_Library!F204:F208,
      Appliance_Library!F209:F214,
      Appliance_Library!F215:F219,
      Appliance_Library!F220:F225,
      Appliance_Library!F226:F229,
      Appliance_Library!F230:F234,
      Appliance_Library!F235:F239,
      Appliance_Library!F240:F247,
      Appliance_Library!F248:F254,
      Appliance_Library!F255:F262,
      Appliance_Library!F263:F271,
      Appliance_Library!F272:F278,
      Appliance_Library!F279:F285,
      Appliance_Library!F286:F292,
      Appliance_Library!F293:F298,
      Appliance_Library!F299:F304,
      Appliance_Library!F305:F311,
      Appliance_Library!F312:F318
   ),
ROW()-ROW($F$4)+1))</f>
        <v>60</v>
      </c>
      <c r="D10" s="65">
        <f>IF(User_Inputs!$D$11="","",
INDEX(
   CHOOSE(User_Inputs!$D$11,
      Appliance_Library!G10:G18,
      Appliance_Library!G19:G28,
      Appliance_Library!G29:G39,
      Appliance_Library!G40:G52,
      Appliance_Library!G53:G66,
      Appliance_Library!G67:G79,
      Appliance_Library!G80:G88,
      Appliance_Library!G89:G98,
      Appliance_Library!G99:G108,
      Appliance_Library!G109:G117,
      Appliance_Library!G118:G126,
      Appliance_Library!G127:G134,
      Appliance_Library!G135:G139,
      Appliance_Library!G140:G146,
      Appliance_Library!G147:G154,
      Appliance_Library!G155:G162,
      Appliance_Library!G163:G169,
      Appliance_Library!G170:G179,
      Appliance_Library!G180:G186,
      Appliance_Library!G187:G192,
      Appliance_Library!G193:G197,
      Appliance_Library!G198:G203,
      Appliance_Library!G204:G208,
      Appliance_Library!G209:G214,
      Appliance_Library!G215:G219,
      Appliance_Library!G220:G225,
      Appliance_Library!G226:G229,
      Appliance_Library!G230:G234,
      Appliance_Library!G235:G239,
      Appliance_Library!G240:G247,
      Appliance_Library!G248:G254,
      Appliance_Library!G255:G262,
      Appliance_Library!G263:G271,
      Appliance_Library!G272:G278,
      Appliance_Library!G279:G285,
      Appliance_Library!G286:G292,
      Appliance_Library!G293:G298,
      Appliance_Library!G299:G304,
      Appliance_Library!G305:G311,
      Appliance_Library!G312:G318
   ),
ROW()-ROW($G$4)+1))</f>
        <v>8</v>
      </c>
      <c r="E10" s="65">
        <f>IF(User_Inputs!$D$11="","",
INDEX(
   CHOOSE(User_Inputs!$D$11,
      Appliance_Library!H10:H18,
      Appliance_Library!H19:H28,
      Appliance_Library!H29:H39,
      Appliance_Library!H40:H52,
      Appliance_Library!H53:H66,
      Appliance_Library!H67:H79,
      Appliance_Library!H80:H88,
      Appliance_Library!H89:H98,
      Appliance_Library!H99:H108,
      Appliance_Library!H109:H117,
      Appliance_Library!H118:H126,
      Appliance_Library!H127:H134,
      Appliance_Library!H135:H139,
      Appliance_Library!H140:H146,
      Appliance_Library!H147:H154,
      Appliance_Library!H155:H162,
      Appliance_Library!H163:H169,
      Appliance_Library!H170:H179,
      Appliance_Library!H180:H186,
      Appliance_Library!H187:H192,
      Appliance_Library!H193:H197,
      Appliance_Library!H198:H203,
      Appliance_Library!H204:H208,
      Appliance_Library!H209:H214,
      Appliance_Library!H215:H219,
      Appliance_Library!H220:H225,
      Appliance_Library!H226:H229,
      Appliance_Library!H230:H234,
      Appliance_Library!H235:H239,
      Appliance_Library!H240:H247,
      Appliance_Library!H248:H254,
      Appliance_Library!H255:H262,
      Appliance_Library!H263:H271,
      Appliance_Library!H272:H278,
      Appliance_Library!H279:H285,
      Appliance_Library!H286:H292,
      Appliance_Library!H293:H298,
      Appliance_Library!H299:H304,
      Appliance_Library!H305:H311,
      Appliance_Library!H312:H318
   ),
ROW()-ROW($H$4)+1))</f>
        <v>1</v>
      </c>
      <c r="F10" s="14">
        <f t="shared" si="0"/>
        <v>60</v>
      </c>
      <c r="G10" s="75">
        <f t="shared" si="1"/>
        <v>2.88</v>
      </c>
      <c r="H10" s="14">
        <f t="shared" si="2"/>
        <v>86.399999999999991</v>
      </c>
      <c r="I10" s="18">
        <f t="shared" si="3"/>
        <v>360</v>
      </c>
    </row>
    <row r="11" spans="1:12">
      <c r="A11" s="54" t="str">
        <f>IF(User_Inputs!$D$11="","",
INDEX(
   CHOOSE(User_Inputs!$D$11,
      Appliance_Library!D11:D19,
      Appliance_Library!D20:D29,
      Appliance_Library!D30:D40,
      Appliance_Library!D41:D53,
      Appliance_Library!D54:D67,
      Appliance_Library!D68:D80,
      Appliance_Library!D81:D89,
      Appliance_Library!D90:D99,
      Appliance_Library!D100:D109,
      Appliance_Library!D110:D118,
      Appliance_Library!D119:D127,
      Appliance_Library!D128:D135,
      Appliance_Library!D136:D140,
      Appliance_Library!D141:D147,
      Appliance_Library!D148:D155,
      Appliance_Library!D156:D163,
      Appliance_Library!D164:D170,
      Appliance_Library!D171:D180,
      Appliance_Library!D181:D187,
      Appliance_Library!D188:D193,
      Appliance_Library!D194:D198,
      Appliance_Library!D199:D204,
      Appliance_Library!D205:D209,
      Appliance_Library!D210:D215,
      Appliance_Library!D216:D220,
      Appliance_Library!D221:D226,
      Appliance_Library!D227:D230,
      Appliance_Library!D231:D235,
      Appliance_Library!D236:D240,
      Appliance_Library!D241:D248,
      Appliance_Library!D249:D255,
      Appliance_Library!D256:D263,
      Appliance_Library!D264:D272,
      Appliance_Library!D273:D279,
      Appliance_Library!D280:D286,
      Appliance_Library!D287:D293,
      Appliance_Library!D294:D299,
      Appliance_Library!D300:D305,
      Appliance_Library!D306:D312,
      Appliance_Library!D313:D319
   ),
ROW()-ROW($D$4)+1))</f>
        <v>Decoder</v>
      </c>
      <c r="B11" s="65">
        <f>IF(User_Inputs!$D$11="","",
INDEX(
   CHOOSE(User_Inputs!$D$11,
      Appliance_Library!E11:E19,
      Appliance_Library!E20:E29,
      Appliance_Library!E30:E40,
      Appliance_Library!E41:E53,
      Appliance_Library!E54:E67,
      Appliance_Library!E68:E80,
      Appliance_Library!E81:E89,
      Appliance_Library!E90:E99,
      Appliance_Library!E100:E109,
      Appliance_Library!E110:E118,
      Appliance_Library!E119:E127,
      Appliance_Library!E128:E135,
      Appliance_Library!E136:E140,
      Appliance_Library!E141:E147,
      Appliance_Library!E148:E155,
      Appliance_Library!E156:E163,
      Appliance_Library!E164:E170,
      Appliance_Library!E171:E180,
      Appliance_Library!E181:E187,
      Appliance_Library!E188:E193,
      Appliance_Library!E194:E198,
      Appliance_Library!E199:E204,
      Appliance_Library!E205:E209,
      Appliance_Library!E210:E215,
      Appliance_Library!E216:E220,
      Appliance_Library!E221:E226,
      Appliance_Library!E227:E230,
      Appliance_Library!E231:E235,
      Appliance_Library!E236:E240,
      Appliance_Library!E241:E248,
      Appliance_Library!E249:E255,
      Appliance_Library!E256:E263,
      Appliance_Library!E264:E272,
      Appliance_Library!E273:E279,
      Appliance_Library!E280:E286,
      Appliance_Library!E287:E293,
      Appliance_Library!E294:E299,
      Appliance_Library!E300:E305,
      Appliance_Library!E306:E312,
      Appliance_Library!E313:E319
   ),
ROW()-ROW($E$4)+1))</f>
        <v>2</v>
      </c>
      <c r="C11" s="65">
        <f>IF(User_Inputs!$D$11="","",
INDEX(
   CHOOSE(User_Inputs!$D$11,
      Appliance_Library!F11:F19,
      Appliance_Library!F20:F29,
      Appliance_Library!F30:F40,
      Appliance_Library!F41:F53,
      Appliance_Library!F54:F67,
      Appliance_Library!F68:F80,
      Appliance_Library!F81:F89,
      Appliance_Library!F90:F99,
      Appliance_Library!F100:F109,
      Appliance_Library!F110:F118,
      Appliance_Library!F119:F127,
      Appliance_Library!F128:F135,
      Appliance_Library!F136:F140,
      Appliance_Library!F141:F147,
      Appliance_Library!F148:F155,
      Appliance_Library!F156:F163,
      Appliance_Library!F164:F170,
      Appliance_Library!F171:F180,
      Appliance_Library!F181:F187,
      Appliance_Library!F188:F193,
      Appliance_Library!F194:F198,
      Appliance_Library!F199:F204,
      Appliance_Library!F205:F209,
      Appliance_Library!F210:F215,
      Appliance_Library!F216:F220,
      Appliance_Library!F221:F226,
      Appliance_Library!F227:F230,
      Appliance_Library!F231:F235,
      Appliance_Library!F236:F240,
      Appliance_Library!F241:F248,
      Appliance_Library!F249:F255,
      Appliance_Library!F256:F263,
      Appliance_Library!F264:F272,
      Appliance_Library!F273:F279,
      Appliance_Library!F280:F286,
      Appliance_Library!F287:F293,
      Appliance_Library!F294:F299,
      Appliance_Library!F300:F305,
      Appliance_Library!F306:F312,
      Appliance_Library!F313:F319
   ),
ROW()-ROW($F$4)+1))</f>
        <v>25</v>
      </c>
      <c r="D11" s="65">
        <f>IF(User_Inputs!$D$11="","",
INDEX(
   CHOOSE(User_Inputs!$D$11,
      Appliance_Library!G11:G19,
      Appliance_Library!G20:G29,
      Appliance_Library!G30:G40,
      Appliance_Library!G41:G53,
      Appliance_Library!G54:G67,
      Appliance_Library!G68:G80,
      Appliance_Library!G81:G89,
      Appliance_Library!G90:G99,
      Appliance_Library!G100:G109,
      Appliance_Library!G110:G118,
      Appliance_Library!G119:G127,
      Appliance_Library!G128:G135,
      Appliance_Library!G136:G140,
      Appliance_Library!G141:G147,
      Appliance_Library!G148:G155,
      Appliance_Library!G156:G163,
      Appliance_Library!G164:G170,
      Appliance_Library!G171:G180,
      Appliance_Library!G181:G187,
      Appliance_Library!G188:G193,
      Appliance_Library!G194:G198,
      Appliance_Library!G199:G204,
      Appliance_Library!G205:G209,
      Appliance_Library!G210:G215,
      Appliance_Library!G216:G220,
      Appliance_Library!G221:G226,
      Appliance_Library!G227:G230,
      Appliance_Library!G231:G235,
      Appliance_Library!G236:G240,
      Appliance_Library!G241:G248,
      Appliance_Library!G249:G255,
      Appliance_Library!G256:G263,
      Appliance_Library!G264:G272,
      Appliance_Library!G273:G279,
      Appliance_Library!G280:G286,
      Appliance_Library!G287:G293,
      Appliance_Library!G294:G299,
      Appliance_Library!G300:G305,
      Appliance_Library!G306:G312,
      Appliance_Library!G313:G319
   ),
ROW()-ROW($G$4)+1))</f>
        <v>6</v>
      </c>
      <c r="E11" s="65">
        <f>IF(User_Inputs!$D$11="","",
INDEX(
   CHOOSE(User_Inputs!$D$11,
      Appliance_Library!H11:H19,
      Appliance_Library!H20:H29,
      Appliance_Library!H30:H40,
      Appliance_Library!H41:H53,
      Appliance_Library!H54:H67,
      Appliance_Library!H68:H80,
      Appliance_Library!H81:H89,
      Appliance_Library!H90:H99,
      Appliance_Library!H100:H109,
      Appliance_Library!H110:H118,
      Appliance_Library!H119:H127,
      Appliance_Library!H128:H135,
      Appliance_Library!H136:H140,
      Appliance_Library!H141:H147,
      Appliance_Library!H148:H155,
      Appliance_Library!H156:H163,
      Appliance_Library!H164:H170,
      Appliance_Library!H171:H180,
      Appliance_Library!H181:H187,
      Appliance_Library!H188:H193,
      Appliance_Library!H194:H198,
      Appliance_Library!H199:H204,
      Appliance_Library!H205:H209,
      Appliance_Library!H210:H215,
      Appliance_Library!H216:H220,
      Appliance_Library!H221:H226,
      Appliance_Library!H227:H230,
      Appliance_Library!H231:H235,
      Appliance_Library!H236:H240,
      Appliance_Library!H241:H248,
      Appliance_Library!H249:H255,
      Appliance_Library!H256:H263,
      Appliance_Library!H264:H272,
      Appliance_Library!H273:H279,
      Appliance_Library!H280:H286,
      Appliance_Library!H287:H293,
      Appliance_Library!H294:H299,
      Appliance_Library!H300:H305,
      Appliance_Library!H306:H312,
      Appliance_Library!H313:H319
   ),
ROW()-ROW($H$4)+1))</f>
        <v>1</v>
      </c>
      <c r="F11" s="14">
        <f t="shared" si="0"/>
        <v>25</v>
      </c>
      <c r="G11" s="75">
        <f t="shared" si="1"/>
        <v>0.3</v>
      </c>
      <c r="H11" s="14">
        <f t="shared" si="2"/>
        <v>9</v>
      </c>
      <c r="I11" s="18">
        <f t="shared" si="3"/>
        <v>50</v>
      </c>
    </row>
    <row r="12" spans="1:12">
      <c r="A12" s="54" t="str">
        <f>IF(User_Inputs!$D$11="","",
INDEX(
   CHOOSE(User_Inputs!$D$11,
      Appliance_Library!D12:D20,
      Appliance_Library!D21:D30,
      Appliance_Library!D31:D41,
      Appliance_Library!D42:D54,
      Appliance_Library!D55:D68,
      Appliance_Library!D69:D81,
      Appliance_Library!D82:D90,
      Appliance_Library!D91:D100,
      Appliance_Library!D101:D110,
      Appliance_Library!D111:D119,
      Appliance_Library!D120:D128,
      Appliance_Library!D129:D136,
      Appliance_Library!D137:D141,
      Appliance_Library!D142:D148,
      Appliance_Library!D149:D156,
      Appliance_Library!D157:D164,
      Appliance_Library!D165:D171,
      Appliance_Library!D172:D181,
      Appliance_Library!D182:D188,
      Appliance_Library!D189:D194,
      Appliance_Library!D195:D199,
      Appliance_Library!D200:D205,
      Appliance_Library!D206:D210,
      Appliance_Library!D211:D216,
      Appliance_Library!D217:D221,
      Appliance_Library!D222:D227,
      Appliance_Library!D228:D231,
      Appliance_Library!D232:D236,
      Appliance_Library!D237:D241,
      Appliance_Library!D242:D249,
      Appliance_Library!D250:D256,
      Appliance_Library!D257:D264,
      Appliance_Library!D265:D273,
      Appliance_Library!D274:D280,
      Appliance_Library!D281:D287,
      Appliance_Library!D288:D294,
      Appliance_Library!D295:D300,
      Appliance_Library!D301:D306,
      Appliance_Library!D307:D313,
      Appliance_Library!D314:D320
   ),
ROW()-ROW($D$4)+1))</f>
        <v>WiFi Router</v>
      </c>
      <c r="B12" s="65">
        <f>IF(User_Inputs!$D$11="","",
INDEX(
   CHOOSE(User_Inputs!$D$11,
      Appliance_Library!E12:E20,
      Appliance_Library!E21:E30,
      Appliance_Library!E31:E41,
      Appliance_Library!E42:E54,
      Appliance_Library!E55:E68,
      Appliance_Library!E69:E81,
      Appliance_Library!E82:E90,
      Appliance_Library!E91:E100,
      Appliance_Library!E101:E110,
      Appliance_Library!E111:E119,
      Appliance_Library!E120:E128,
      Appliance_Library!E129:E136,
      Appliance_Library!E137:E141,
      Appliance_Library!E142:E148,
      Appliance_Library!E149:E156,
      Appliance_Library!E157:E164,
      Appliance_Library!E165:E171,
      Appliance_Library!E172:E181,
      Appliance_Library!E182:E188,
      Appliance_Library!E189:E194,
      Appliance_Library!E195:E199,
      Appliance_Library!E200:E205,
      Appliance_Library!E206:E210,
      Appliance_Library!E211:E216,
      Appliance_Library!E217:E221,
      Appliance_Library!E222:E227,
      Appliance_Library!E228:E231,
      Appliance_Library!E232:E236,
      Appliance_Library!E237:E241,
      Appliance_Library!E242:E249,
      Appliance_Library!E250:E256,
      Appliance_Library!E257:E264,
      Appliance_Library!E265:E273,
      Appliance_Library!E274:E280,
      Appliance_Library!E281:E287,
      Appliance_Library!E288:E294,
      Appliance_Library!E295:E300,
      Appliance_Library!E301:E306,
      Appliance_Library!E307:E313,
      Appliance_Library!E314:E320
   ),
ROW()-ROW($E$4)+1))</f>
        <v>1</v>
      </c>
      <c r="C12" s="65">
        <f>IF(User_Inputs!$D$11="","",
INDEX(
   CHOOSE(User_Inputs!$D$11,
      Appliance_Library!F12:F20,
      Appliance_Library!F21:F30,
      Appliance_Library!F31:F41,
      Appliance_Library!F42:F54,
      Appliance_Library!F55:F68,
      Appliance_Library!F69:F81,
      Appliance_Library!F82:F90,
      Appliance_Library!F91:F100,
      Appliance_Library!F101:F110,
      Appliance_Library!F111:F119,
      Appliance_Library!F120:F128,
      Appliance_Library!F129:F136,
      Appliance_Library!F137:F141,
      Appliance_Library!F142:F148,
      Appliance_Library!F149:F156,
      Appliance_Library!F157:F164,
      Appliance_Library!F165:F171,
      Appliance_Library!F172:F181,
      Appliance_Library!F182:F188,
      Appliance_Library!F189:F194,
      Appliance_Library!F195:F199,
      Appliance_Library!F200:F205,
      Appliance_Library!F206:F210,
      Appliance_Library!F211:F216,
      Appliance_Library!F217:F221,
      Appliance_Library!F222:F227,
      Appliance_Library!F228:F231,
      Appliance_Library!F232:F236,
      Appliance_Library!F237:F241,
      Appliance_Library!F242:F249,
      Appliance_Library!F250:F256,
      Appliance_Library!F257:F264,
      Appliance_Library!F265:F273,
      Appliance_Library!F274:F280,
      Appliance_Library!F281:F287,
      Appliance_Library!F288:F294,
      Appliance_Library!F295:F300,
      Appliance_Library!F301:F306,
      Appliance_Library!F307:F313,
      Appliance_Library!F314:F320
   ),
ROW()-ROW($F$4)+1))</f>
        <v>15</v>
      </c>
      <c r="D12" s="65">
        <f>IF(User_Inputs!$D$11="","",
INDEX(
   CHOOSE(User_Inputs!$D$11,
      Appliance_Library!G12:G20,
      Appliance_Library!G21:G30,
      Appliance_Library!G31:G41,
      Appliance_Library!G42:G54,
      Appliance_Library!G55:G68,
      Appliance_Library!G69:G81,
      Appliance_Library!G82:G90,
      Appliance_Library!G91:G100,
      Appliance_Library!G101:G110,
      Appliance_Library!G111:G119,
      Appliance_Library!G120:G128,
      Appliance_Library!G129:G136,
      Appliance_Library!G137:G141,
      Appliance_Library!G142:G148,
      Appliance_Library!G149:G156,
      Appliance_Library!G157:G164,
      Appliance_Library!G165:G171,
      Appliance_Library!G172:G181,
      Appliance_Library!G182:G188,
      Appliance_Library!G189:G194,
      Appliance_Library!G195:G199,
      Appliance_Library!G200:G205,
      Appliance_Library!G206:G210,
      Appliance_Library!G211:G216,
      Appliance_Library!G217:G221,
      Appliance_Library!G222:G227,
      Appliance_Library!G228:G231,
      Appliance_Library!G232:G236,
      Appliance_Library!G237:G241,
      Appliance_Library!G242:G249,
      Appliance_Library!G250:G256,
      Appliance_Library!G257:G264,
      Appliance_Library!G265:G273,
      Appliance_Library!G274:G280,
      Appliance_Library!G281:G287,
      Appliance_Library!G288:G294,
      Appliance_Library!G295:G300,
      Appliance_Library!G301:G306,
      Appliance_Library!G307:G313,
      Appliance_Library!G314:G320
   ),
ROW()-ROW($G$4)+1))</f>
        <v>24</v>
      </c>
      <c r="E12" s="65">
        <f>IF(User_Inputs!$D$11="","",
INDEX(
   CHOOSE(User_Inputs!$D$11,
      Appliance_Library!H12:H20,
      Appliance_Library!H21:H30,
      Appliance_Library!H31:H41,
      Appliance_Library!H42:H54,
      Appliance_Library!H55:H68,
      Appliance_Library!H69:H81,
      Appliance_Library!H82:H90,
      Appliance_Library!H91:H100,
      Appliance_Library!H101:H110,
      Appliance_Library!H111:H119,
      Appliance_Library!H120:H128,
      Appliance_Library!H129:H136,
      Appliance_Library!H137:H141,
      Appliance_Library!H142:H148,
      Appliance_Library!H149:H156,
      Appliance_Library!H157:H164,
      Appliance_Library!H165:H171,
      Appliance_Library!H172:H181,
      Appliance_Library!H182:H188,
      Appliance_Library!H189:H194,
      Appliance_Library!H195:H199,
      Appliance_Library!H200:H205,
      Appliance_Library!H206:H210,
      Appliance_Library!H211:H216,
      Appliance_Library!H217:H221,
      Appliance_Library!H222:H227,
      Appliance_Library!H228:H231,
      Appliance_Library!H232:H236,
      Appliance_Library!H237:H241,
      Appliance_Library!H242:H249,
      Appliance_Library!H250:H256,
      Appliance_Library!H257:H264,
      Appliance_Library!H265:H273,
      Appliance_Library!H274:H280,
      Appliance_Library!H281:H287,
      Appliance_Library!H288:H294,
      Appliance_Library!H295:H300,
      Appliance_Library!H301:H306,
      Appliance_Library!H307:H313,
      Appliance_Library!H314:H320
   ),
ROW()-ROW($H$4)+1))</f>
        <v>1</v>
      </c>
      <c r="F12" s="14">
        <f t="shared" si="0"/>
        <v>15</v>
      </c>
      <c r="G12" s="75">
        <f t="shared" si="1"/>
        <v>0.36</v>
      </c>
      <c r="H12" s="14">
        <f t="shared" si="2"/>
        <v>10.799999999999999</v>
      </c>
      <c r="I12" s="18">
        <f t="shared" si="3"/>
        <v>15</v>
      </c>
    </row>
    <row r="13" spans="1:12">
      <c r="A13" s="54" t="str">
        <f>IF(User_Inputs!$D$11="","",
INDEX(
   CHOOSE(User_Inputs!$D$11,
      Appliance_Library!D13:D21,
      Appliance_Library!D22:D31,
      Appliance_Library!D32:D42,
      Appliance_Library!D43:D55,
      Appliance_Library!D56:D69,
      Appliance_Library!D70:D82,
      Appliance_Library!D83:D91,
      Appliance_Library!D92:D101,
      Appliance_Library!D102:D111,
      Appliance_Library!D112:D120,
      Appliance_Library!D121:D129,
      Appliance_Library!D130:D137,
      Appliance_Library!D138:D142,
      Appliance_Library!D143:D149,
      Appliance_Library!D150:D157,
      Appliance_Library!D158:D165,
      Appliance_Library!D166:D172,
      Appliance_Library!D173:D182,
      Appliance_Library!D183:D189,
      Appliance_Library!D190:D195,
      Appliance_Library!D196:D200,
      Appliance_Library!D201:D206,
      Appliance_Library!D207:D211,
      Appliance_Library!D212:D217,
      Appliance_Library!D218:D222,
      Appliance_Library!D223:D228,
      Appliance_Library!D229:D232,
      Appliance_Library!D233:D237,
      Appliance_Library!D238:D242,
      Appliance_Library!D243:D250,
      Appliance_Library!D251:D257,
      Appliance_Library!D258:D265,
      Appliance_Library!D266:D274,
      Appliance_Library!D275:D281,
      Appliance_Library!D282:D288,
      Appliance_Library!D289:D295,
      Appliance_Library!D296:D301,
      Appliance_Library!D302:D307,
      Appliance_Library!D308:D314,
      Appliance_Library!D315:D321
   ),
ROW()-ROW($D$4)+1))</f>
        <v>Phone Chargers</v>
      </c>
      <c r="B13" s="65">
        <f>IF(User_Inputs!$D$11="","",
INDEX(
   CHOOSE(User_Inputs!$D$11,
      Appliance_Library!E13:E21,
      Appliance_Library!E22:E31,
      Appliance_Library!E32:E42,
      Appliance_Library!E43:E55,
      Appliance_Library!E56:E69,
      Appliance_Library!E70:E82,
      Appliance_Library!E83:E91,
      Appliance_Library!E92:E101,
      Appliance_Library!E102:E111,
      Appliance_Library!E112:E120,
      Appliance_Library!E121:E129,
      Appliance_Library!E130:E137,
      Appliance_Library!E138:E142,
      Appliance_Library!E143:E149,
      Appliance_Library!E150:E157,
      Appliance_Library!E158:E165,
      Appliance_Library!E166:E172,
      Appliance_Library!E173:E182,
      Appliance_Library!E183:E189,
      Appliance_Library!E190:E195,
      Appliance_Library!E196:E200,
      Appliance_Library!E201:E206,
      Appliance_Library!E207:E211,
      Appliance_Library!E212:E217,
      Appliance_Library!E218:E222,
      Appliance_Library!E223:E228,
      Appliance_Library!E229:E232,
      Appliance_Library!E233:E237,
      Appliance_Library!E238:E242,
      Appliance_Library!E243:E250,
      Appliance_Library!E251:E257,
      Appliance_Library!E258:E265,
      Appliance_Library!E266:E274,
      Appliance_Library!E275:E281,
      Appliance_Library!E282:E288,
      Appliance_Library!E289:E295,
      Appliance_Library!E296:E301,
      Appliance_Library!E302:E307,
      Appliance_Library!E308:E314,
      Appliance_Library!E315:E321
   ),
ROW()-ROW($E$4)+1))</f>
        <v>5</v>
      </c>
      <c r="C13" s="65">
        <f>IF(User_Inputs!$D$11="","",
INDEX(
   CHOOSE(User_Inputs!$D$11,
      Appliance_Library!F13:F21,
      Appliance_Library!F22:F31,
      Appliance_Library!F32:F42,
      Appliance_Library!F43:F55,
      Appliance_Library!F56:F69,
      Appliance_Library!F70:F82,
      Appliance_Library!F83:F91,
      Appliance_Library!F92:F101,
      Appliance_Library!F102:F111,
      Appliance_Library!F112:F120,
      Appliance_Library!F121:F129,
      Appliance_Library!F130:F137,
      Appliance_Library!F138:F142,
      Appliance_Library!F143:F149,
      Appliance_Library!F150:F157,
      Appliance_Library!F158:F165,
      Appliance_Library!F166:F172,
      Appliance_Library!F173:F182,
      Appliance_Library!F183:F189,
      Appliance_Library!F190:F195,
      Appliance_Library!F196:F200,
      Appliance_Library!F201:F206,
      Appliance_Library!F207:F211,
      Appliance_Library!F212:F217,
      Appliance_Library!F218:F222,
      Appliance_Library!F223:F228,
      Appliance_Library!F229:F232,
      Appliance_Library!F233:F237,
      Appliance_Library!F238:F242,
      Appliance_Library!F243:F250,
      Appliance_Library!F251:F257,
      Appliance_Library!F258:F265,
      Appliance_Library!F266:F274,
      Appliance_Library!F275:F281,
      Appliance_Library!F282:F288,
      Appliance_Library!F289:F295,
      Appliance_Library!F296:F301,
      Appliance_Library!F302:F307,
      Appliance_Library!F308:F314,
      Appliance_Library!F315:F321
   ),
ROW()-ROW($F$4)+1))</f>
        <v>10</v>
      </c>
      <c r="D13" s="65">
        <f>IF(User_Inputs!$D$11="","",
INDEX(
   CHOOSE(User_Inputs!$D$11,
      Appliance_Library!G13:G21,
      Appliance_Library!G22:G31,
      Appliance_Library!G32:G42,
      Appliance_Library!G43:G55,
      Appliance_Library!G56:G69,
      Appliance_Library!G70:G82,
      Appliance_Library!G83:G91,
      Appliance_Library!G92:G101,
      Appliance_Library!G102:G111,
      Appliance_Library!G112:G120,
      Appliance_Library!G121:G129,
      Appliance_Library!G130:G137,
      Appliance_Library!G138:G142,
      Appliance_Library!G143:G149,
      Appliance_Library!G150:G157,
      Appliance_Library!G158:G165,
      Appliance_Library!G166:G172,
      Appliance_Library!G173:G182,
      Appliance_Library!G183:G189,
      Appliance_Library!G190:G195,
      Appliance_Library!G196:G200,
      Appliance_Library!G201:G206,
      Appliance_Library!G207:G211,
      Appliance_Library!G212:G217,
      Appliance_Library!G218:G222,
      Appliance_Library!G223:G228,
      Appliance_Library!G229:G232,
      Appliance_Library!G233:G237,
      Appliance_Library!G238:G242,
      Appliance_Library!G243:G250,
      Appliance_Library!G251:G257,
      Appliance_Library!G258:G265,
      Appliance_Library!G266:G274,
      Appliance_Library!G275:G281,
      Appliance_Library!G282:G288,
      Appliance_Library!G289:G295,
      Appliance_Library!G296:G301,
      Appliance_Library!G302:G307,
      Appliance_Library!G308:G314,
      Appliance_Library!G315:G321
   ),
ROW()-ROW($G$4)+1))</f>
        <v>3</v>
      </c>
      <c r="E13" s="65">
        <f>IF(User_Inputs!$D$11="","",
INDEX(
   CHOOSE(User_Inputs!$D$11,
      Appliance_Library!H13:H21,
      Appliance_Library!H22:H31,
      Appliance_Library!H32:H42,
      Appliance_Library!H43:H55,
      Appliance_Library!H56:H69,
      Appliance_Library!H70:H82,
      Appliance_Library!H83:H91,
      Appliance_Library!H92:H101,
      Appliance_Library!H102:H111,
      Appliance_Library!H112:H120,
      Appliance_Library!H121:H129,
      Appliance_Library!H130:H137,
      Appliance_Library!H138:H142,
      Appliance_Library!H143:H149,
      Appliance_Library!H150:H157,
      Appliance_Library!H158:H165,
      Appliance_Library!H166:H172,
      Appliance_Library!H173:H182,
      Appliance_Library!H183:H189,
      Appliance_Library!H190:H195,
      Appliance_Library!H196:H200,
      Appliance_Library!H201:H206,
      Appliance_Library!H207:H211,
      Appliance_Library!H212:H217,
      Appliance_Library!H218:H222,
      Appliance_Library!H223:H228,
      Appliance_Library!H229:H232,
      Appliance_Library!H233:H237,
      Appliance_Library!H238:H242,
      Appliance_Library!H243:H250,
      Appliance_Library!H251:H257,
      Appliance_Library!H258:H265,
      Appliance_Library!H266:H274,
      Appliance_Library!H275:H281,
      Appliance_Library!H282:H288,
      Appliance_Library!H289:H295,
      Appliance_Library!H296:H301,
      Appliance_Library!H302:H307,
      Appliance_Library!H308:H314,
      Appliance_Library!H315:H321
   ),
ROW()-ROW($H$4)+1))</f>
        <v>1</v>
      </c>
      <c r="F13" s="14">
        <f t="shared" si="0"/>
        <v>10</v>
      </c>
      <c r="G13" s="75">
        <f t="shared" si="1"/>
        <v>0.15</v>
      </c>
      <c r="H13" s="14">
        <f t="shared" si="2"/>
        <v>4.5</v>
      </c>
      <c r="I13" s="18">
        <f t="shared" si="3"/>
        <v>50</v>
      </c>
    </row>
    <row r="14" spans="1:12">
      <c r="A14" s="54" t="str">
        <f>IF(User_Inputs!$D$11="","",
INDEX(
   CHOOSE(User_Inputs!$D$11,
      Appliance_Library!D14:D22,
      Appliance_Library!D23:D32,
      Appliance_Library!D33:D43,
      Appliance_Library!D44:D56,
      Appliance_Library!D57:D70,
      Appliance_Library!D71:D83,
      Appliance_Library!D84:D92,
      Appliance_Library!D93:D102,
      Appliance_Library!D103:D112,
      Appliance_Library!D113:D121,
      Appliance_Library!D122:D130,
      Appliance_Library!D131:D138,
      Appliance_Library!D139:D143,
      Appliance_Library!D144:D150,
      Appliance_Library!D151:D158,
      Appliance_Library!D159:D166,
      Appliance_Library!D167:D173,
      Appliance_Library!D174:D183,
      Appliance_Library!D184:D190,
      Appliance_Library!D191:D196,
      Appliance_Library!D197:D201,
      Appliance_Library!D202:D207,
      Appliance_Library!D208:D212,
      Appliance_Library!D213:D218,
      Appliance_Library!D219:D223,
      Appliance_Library!D224:D229,
      Appliance_Library!D230:D233,
      Appliance_Library!D234:D238,
      Appliance_Library!D239:D243,
      Appliance_Library!D244:D251,
      Appliance_Library!D252:D258,
      Appliance_Library!D259:D266,
      Appliance_Library!D267:D275,
      Appliance_Library!D276:D282,
      Appliance_Library!D283:D289,
      Appliance_Library!D290:D296,
      Appliance_Library!D297:D302,
      Appliance_Library!D303:D308,
      Appliance_Library!D309:D315,
      Appliance_Library!D316:D322
   ),
ROW()-ROW($D$4)+1))</f>
        <v>Microwave</v>
      </c>
      <c r="B14" s="65">
        <f>IF(User_Inputs!$D$11="","",
INDEX(
   CHOOSE(User_Inputs!$D$11,
      Appliance_Library!E14:E22,
      Appliance_Library!E23:E32,
      Appliance_Library!E33:E43,
      Appliance_Library!E44:E56,
      Appliance_Library!E57:E70,
      Appliance_Library!E71:E83,
      Appliance_Library!E84:E92,
      Appliance_Library!E93:E102,
      Appliance_Library!E103:E112,
      Appliance_Library!E113:E121,
      Appliance_Library!E122:E130,
      Appliance_Library!E131:E138,
      Appliance_Library!E139:E143,
      Appliance_Library!E144:E150,
      Appliance_Library!E151:E158,
      Appliance_Library!E159:E166,
      Appliance_Library!E167:E173,
      Appliance_Library!E174:E183,
      Appliance_Library!E184:E190,
      Appliance_Library!E191:E196,
      Appliance_Library!E197:E201,
      Appliance_Library!E202:E207,
      Appliance_Library!E208:E212,
      Appliance_Library!E213:E218,
      Appliance_Library!E219:E223,
      Appliance_Library!E224:E229,
      Appliance_Library!E230:E233,
      Appliance_Library!E234:E238,
      Appliance_Library!E239:E243,
      Appliance_Library!E244:E251,
      Appliance_Library!E252:E258,
      Appliance_Library!E259:E266,
      Appliance_Library!E267:E275,
      Appliance_Library!E276:E282,
      Appliance_Library!E283:E289,
      Appliance_Library!E290:E296,
      Appliance_Library!E297:E302,
      Appliance_Library!E303:E308,
      Appliance_Library!E309:E315,
      Appliance_Library!E316:E322
   ),
ROW()-ROW($E$4)+1))</f>
        <v>1</v>
      </c>
      <c r="C14" s="65">
        <f>IF(User_Inputs!$D$11="","",
INDEX(
   CHOOSE(User_Inputs!$D$11,
      Appliance_Library!F14:F22,
      Appliance_Library!F23:F32,
      Appliance_Library!F33:F43,
      Appliance_Library!F44:F56,
      Appliance_Library!F57:F70,
      Appliance_Library!F71:F83,
      Appliance_Library!F84:F92,
      Appliance_Library!F93:F102,
      Appliance_Library!F103:F112,
      Appliance_Library!F113:F121,
      Appliance_Library!F122:F130,
      Appliance_Library!F131:F138,
      Appliance_Library!F139:F143,
      Appliance_Library!F144:F150,
      Appliance_Library!F151:F158,
      Appliance_Library!F159:F166,
      Appliance_Library!F167:F173,
      Appliance_Library!F174:F183,
      Appliance_Library!F184:F190,
      Appliance_Library!F191:F196,
      Appliance_Library!F197:F201,
      Appliance_Library!F202:F207,
      Appliance_Library!F208:F212,
      Appliance_Library!F213:F218,
      Appliance_Library!F219:F223,
      Appliance_Library!F224:F229,
      Appliance_Library!F230:F233,
      Appliance_Library!F234:F238,
      Appliance_Library!F239:F243,
      Appliance_Library!F244:F251,
      Appliance_Library!F252:F258,
      Appliance_Library!F259:F266,
      Appliance_Library!F267:F275,
      Appliance_Library!F276:F282,
      Appliance_Library!F283:F289,
      Appliance_Library!F290:F296,
      Appliance_Library!F297:F302,
      Appliance_Library!F303:F308,
      Appliance_Library!F309:F315,
      Appliance_Library!F316:F322
   ),
ROW()-ROW($F$4)+1))</f>
        <v>1200</v>
      </c>
      <c r="D14" s="65">
        <f>IF(User_Inputs!$D$11="","",
INDEX(
   CHOOSE(User_Inputs!$D$11,
      Appliance_Library!G14:G22,
      Appliance_Library!G23:G32,
      Appliance_Library!G33:G43,
      Appliance_Library!G44:G56,
      Appliance_Library!G57:G70,
      Appliance_Library!G71:G83,
      Appliance_Library!G84:G92,
      Appliance_Library!G93:G102,
      Appliance_Library!G103:G112,
      Appliance_Library!G113:G121,
      Appliance_Library!G122:G130,
      Appliance_Library!G131:G138,
      Appliance_Library!G139:G143,
      Appliance_Library!G144:G150,
      Appliance_Library!G151:G158,
      Appliance_Library!G159:G166,
      Appliance_Library!G167:G173,
      Appliance_Library!G174:G183,
      Appliance_Library!G184:G190,
      Appliance_Library!G191:G196,
      Appliance_Library!G197:G201,
      Appliance_Library!G202:G207,
      Appliance_Library!G208:G212,
      Appliance_Library!G213:G218,
      Appliance_Library!G219:G223,
      Appliance_Library!G224:G229,
      Appliance_Library!G230:G233,
      Appliance_Library!G234:G238,
      Appliance_Library!G239:G243,
      Appliance_Library!G244:G251,
      Appliance_Library!G252:G258,
      Appliance_Library!G259:G266,
      Appliance_Library!G267:G275,
      Appliance_Library!G276:G282,
      Appliance_Library!G283:G289,
      Appliance_Library!G290:G296,
      Appliance_Library!G297:G302,
      Appliance_Library!G303:G308,
      Appliance_Library!G309:G315,
      Appliance_Library!G316:G322
   ),
ROW()-ROW($G$4)+1))</f>
        <v>0.4</v>
      </c>
      <c r="E14" s="65">
        <f>IF(User_Inputs!$D$11="","",
INDEX(
   CHOOSE(User_Inputs!$D$11,
      Appliance_Library!H14:H22,
      Appliance_Library!H23:H32,
      Appliance_Library!H33:H43,
      Appliance_Library!H44:H56,
      Appliance_Library!H57:H70,
      Appliance_Library!H71:H83,
      Appliance_Library!H84:H92,
      Appliance_Library!H93:H102,
      Appliance_Library!H103:H112,
      Appliance_Library!H113:H121,
      Appliance_Library!H122:H130,
      Appliance_Library!H131:H138,
      Appliance_Library!H139:H143,
      Appliance_Library!H144:H150,
      Appliance_Library!H151:H158,
      Appliance_Library!H159:H166,
      Appliance_Library!H167:H173,
      Appliance_Library!H174:H183,
      Appliance_Library!H184:H190,
      Appliance_Library!H191:H196,
      Appliance_Library!H197:H201,
      Appliance_Library!H202:H207,
      Appliance_Library!H208:H212,
      Appliance_Library!H213:H218,
      Appliance_Library!H219:H223,
      Appliance_Library!H224:H229,
      Appliance_Library!H230:H233,
      Appliance_Library!H234:H238,
      Appliance_Library!H239:H243,
      Appliance_Library!H244:H251,
      Appliance_Library!H252:H258,
      Appliance_Library!H259:H266,
      Appliance_Library!H267:H275,
      Appliance_Library!H276:H282,
      Appliance_Library!H283:H289,
      Appliance_Library!H290:H296,
      Appliance_Library!H297:H302,
      Appliance_Library!H303:H308,
      Appliance_Library!H309:H315,
      Appliance_Library!H316:H322
   ),
ROW()-ROW($H$4)+1))</f>
        <v>1</v>
      </c>
      <c r="F14" s="14">
        <f t="shared" si="0"/>
        <v>1200</v>
      </c>
      <c r="G14" s="75">
        <f t="shared" si="1"/>
        <v>0.48</v>
      </c>
      <c r="H14" s="14">
        <f t="shared" si="2"/>
        <v>14.399999999999999</v>
      </c>
      <c r="I14" s="18">
        <f t="shared" si="3"/>
        <v>1200</v>
      </c>
    </row>
    <row r="15" spans="1:12">
      <c r="A15" s="54" t="e">
        <f>IF(User_Inputs!$D$11="","",
INDEX(
   CHOOSE(User_Inputs!$D$11,
      Appliance_Library!D15:D23,
      Appliance_Library!D24:D33,
      Appliance_Library!D34:D44,
      Appliance_Library!D45:D57,
      Appliance_Library!D58:D71,
      Appliance_Library!D72:D84,
      Appliance_Library!D85:D93,
      Appliance_Library!D94:D103,
      Appliance_Library!D104:D113,
      Appliance_Library!D114:D122,
      Appliance_Library!D123:D131,
      Appliance_Library!D132:D139,
      Appliance_Library!D140:D144,
      Appliance_Library!D145:D151,
      Appliance_Library!D152:D159,
      Appliance_Library!D160:D167,
      Appliance_Library!D168:D174,
      Appliance_Library!D175:D184,
      Appliance_Library!D185:D191,
      Appliance_Library!D192:D197,
      Appliance_Library!D198:D202,
      Appliance_Library!D203:D208,
      Appliance_Library!D209:D213,
      Appliance_Library!D214:D219,
      Appliance_Library!D220:D224,
      Appliance_Library!D225:D230,
      Appliance_Library!D231:D234,
      Appliance_Library!D235:D239,
      Appliance_Library!D240:D244,
      Appliance_Library!D245:D252,
      Appliance_Library!D253:D259,
      Appliance_Library!D260:D267,
      Appliance_Library!D268:D276,
      Appliance_Library!D277:D283,
      Appliance_Library!D284:D290,
      Appliance_Library!D291:D297,
      Appliance_Library!D298:D303,
      Appliance_Library!D304:D309,
      Appliance_Library!D310:D316,
      Appliance_Library!D317:D323
   ),
ROW()-ROW($D$4)+1))</f>
        <v>#REF!</v>
      </c>
      <c r="B15" s="65" t="e">
        <f>IF(User_Inputs!$D$11="","",
INDEX(
   CHOOSE(User_Inputs!$D$11,
      Appliance_Library!E15:E23,
      Appliance_Library!E24:E33,
      Appliance_Library!E34:E44,
      Appliance_Library!E45:E57,
      Appliance_Library!E58:E71,
      Appliance_Library!E72:E84,
      Appliance_Library!E85:E93,
      Appliance_Library!E94:E103,
      Appliance_Library!E104:E113,
      Appliance_Library!E114:E122,
      Appliance_Library!E123:E131,
      Appliance_Library!E132:E139,
      Appliance_Library!E140:E144,
      Appliance_Library!E145:E151,
      Appliance_Library!E152:E159,
      Appliance_Library!E160:E167,
      Appliance_Library!E168:E174,
      Appliance_Library!E175:E184,
      Appliance_Library!E185:E191,
      Appliance_Library!E192:E197,
      Appliance_Library!E198:E202,
      Appliance_Library!E203:E208,
      Appliance_Library!E209:E213,
      Appliance_Library!E214:E219,
      Appliance_Library!E220:E224,
      Appliance_Library!E225:E230,
      Appliance_Library!E231:E234,
      Appliance_Library!E235:E239,
      Appliance_Library!E240:E244,
      Appliance_Library!E245:E252,
      Appliance_Library!E253:E259,
      Appliance_Library!E260:E267,
      Appliance_Library!E268:E276,
      Appliance_Library!E277:E283,
      Appliance_Library!E284:E290,
      Appliance_Library!E291:E297,
      Appliance_Library!E298:E303,
      Appliance_Library!E304:E309,
      Appliance_Library!E310:E316,
      Appliance_Library!E317:E323
   ),
ROW()-ROW($E$4)+1))</f>
        <v>#REF!</v>
      </c>
      <c r="C15" s="65" t="e">
        <f>IF(User_Inputs!$D$11="","",
INDEX(
   CHOOSE(User_Inputs!$D$11,
      Appliance_Library!F15:F23,
      Appliance_Library!F24:F33,
      Appliance_Library!F34:F44,
      Appliance_Library!F45:F57,
      Appliance_Library!F58:F71,
      Appliance_Library!F72:F84,
      Appliance_Library!F85:F93,
      Appliance_Library!F94:F103,
      Appliance_Library!F104:F113,
      Appliance_Library!F114:F122,
      Appliance_Library!F123:F131,
      Appliance_Library!F132:F139,
      Appliance_Library!F140:F144,
      Appliance_Library!F145:F151,
      Appliance_Library!F152:F159,
      Appliance_Library!F160:F167,
      Appliance_Library!F168:F174,
      Appliance_Library!F175:F184,
      Appliance_Library!F185:F191,
      Appliance_Library!F192:F197,
      Appliance_Library!F198:F202,
      Appliance_Library!F203:F208,
      Appliance_Library!F209:F213,
      Appliance_Library!F214:F219,
      Appliance_Library!F220:F224,
      Appliance_Library!F225:F230,
      Appliance_Library!F231:F234,
      Appliance_Library!F235:F239,
      Appliance_Library!F240:F244,
      Appliance_Library!F245:F252,
      Appliance_Library!F253:F259,
      Appliance_Library!F260:F267,
      Appliance_Library!F268:F276,
      Appliance_Library!F277:F283,
      Appliance_Library!F284:F290,
      Appliance_Library!F291:F297,
      Appliance_Library!F298:F303,
      Appliance_Library!F304:F309,
      Appliance_Library!F310:F316,
      Appliance_Library!F317:F323
   ),
ROW()-ROW($F$4)+1))</f>
        <v>#REF!</v>
      </c>
      <c r="D15" s="65" t="e">
        <f>IF(User_Inputs!$D$11="","",
INDEX(
   CHOOSE(User_Inputs!$D$11,
      Appliance_Library!G15:G23,
      Appliance_Library!G24:G33,
      Appliance_Library!G34:G44,
      Appliance_Library!G45:G57,
      Appliance_Library!G58:G71,
      Appliance_Library!G72:G84,
      Appliance_Library!G85:G93,
      Appliance_Library!G94:G103,
      Appliance_Library!G104:G113,
      Appliance_Library!G114:G122,
      Appliance_Library!G123:G131,
      Appliance_Library!G132:G139,
      Appliance_Library!G140:G144,
      Appliance_Library!G145:G151,
      Appliance_Library!G152:G159,
      Appliance_Library!G160:G167,
      Appliance_Library!G168:G174,
      Appliance_Library!G175:G184,
      Appliance_Library!G185:G191,
      Appliance_Library!G192:G197,
      Appliance_Library!G198:G202,
      Appliance_Library!G203:G208,
      Appliance_Library!G209:G213,
      Appliance_Library!G214:G219,
      Appliance_Library!G220:G224,
      Appliance_Library!G225:G230,
      Appliance_Library!G231:G234,
      Appliance_Library!G235:G239,
      Appliance_Library!G240:G244,
      Appliance_Library!G245:G252,
      Appliance_Library!G253:G259,
      Appliance_Library!G260:G267,
      Appliance_Library!G268:G276,
      Appliance_Library!G277:G283,
      Appliance_Library!G284:G290,
      Appliance_Library!G291:G297,
      Appliance_Library!G298:G303,
      Appliance_Library!G304:G309,
      Appliance_Library!G310:G316,
      Appliance_Library!G317:G323
   ),
ROW()-ROW($G$4)+1))</f>
        <v>#REF!</v>
      </c>
      <c r="E15" s="65" t="e">
        <f>IF(User_Inputs!$D$11="","",
INDEX(
   CHOOSE(User_Inputs!$D$11,
      Appliance_Library!H15:H23,
      Appliance_Library!H24:H33,
      Appliance_Library!H34:H44,
      Appliance_Library!H45:H57,
      Appliance_Library!H58:H71,
      Appliance_Library!H72:H84,
      Appliance_Library!H85:H93,
      Appliance_Library!H94:H103,
      Appliance_Library!H104:H113,
      Appliance_Library!H114:H122,
      Appliance_Library!H123:H131,
      Appliance_Library!H132:H139,
      Appliance_Library!H140:H144,
      Appliance_Library!H145:H151,
      Appliance_Library!H152:H159,
      Appliance_Library!H160:H167,
      Appliance_Library!H168:H174,
      Appliance_Library!H175:H184,
      Appliance_Library!H185:H191,
      Appliance_Library!H192:H197,
      Appliance_Library!H198:H202,
      Appliance_Library!H203:H208,
      Appliance_Library!H209:H213,
      Appliance_Library!H214:H219,
      Appliance_Library!H220:H224,
      Appliance_Library!H225:H230,
      Appliance_Library!H231:H234,
      Appliance_Library!H235:H239,
      Appliance_Library!H240:H244,
      Appliance_Library!H245:H252,
      Appliance_Library!H253:H259,
      Appliance_Library!H260:H267,
      Appliance_Library!H268:H276,
      Appliance_Library!H277:H283,
      Appliance_Library!H284:H290,
      Appliance_Library!H291:H297,
      Appliance_Library!H298:H303,
      Appliance_Library!H304:H309,
      Appliance_Library!H310:H316,
      Appliance_Library!H317:H323
   ),
ROW()-ROW($H$4)+1))</f>
        <v>#REF!</v>
      </c>
      <c r="F15" s="14">
        <f t="shared" si="0"/>
        <v>0</v>
      </c>
      <c r="G15" s="75">
        <f t="shared" si="1"/>
        <v>0</v>
      </c>
      <c r="H15" s="14">
        <f t="shared" si="2"/>
        <v>0</v>
      </c>
      <c r="I15" s="18">
        <f t="shared" si="3"/>
        <v>0</v>
      </c>
    </row>
    <row r="16" spans="1:12">
      <c r="A16" s="54" t="e">
        <f>IF(User_Inputs!$D$11="","",
INDEX(
   CHOOSE(User_Inputs!$D$11,
      Appliance_Library!D16:D24,
      Appliance_Library!D25:D34,
      Appliance_Library!D35:D45,
      Appliance_Library!D46:D58,
      Appliance_Library!D59:D72,
      Appliance_Library!D73:D85,
      Appliance_Library!D86:D94,
      Appliance_Library!D95:D104,
      Appliance_Library!D105:D114,
      Appliance_Library!D115:D123,
      Appliance_Library!D124:D132,
      Appliance_Library!D133:D140,
      Appliance_Library!D141:D145,
      Appliance_Library!D146:D152,
      Appliance_Library!D153:D160,
      Appliance_Library!D161:D168,
      Appliance_Library!D169:D175,
      Appliance_Library!D176:D185,
      Appliance_Library!D186:D192,
      Appliance_Library!D193:D198,
      Appliance_Library!D199:D203,
      Appliance_Library!D204:D209,
      Appliance_Library!D210:D214,
      Appliance_Library!D215:D220,
      Appliance_Library!D221:D225,
      Appliance_Library!D226:D231,
      Appliance_Library!D232:D235,
      Appliance_Library!D236:D240,
      Appliance_Library!D241:D245,
      Appliance_Library!D246:D253,
      Appliance_Library!D254:D260,
      Appliance_Library!D261:D268,
      Appliance_Library!D269:D277,
      Appliance_Library!D278:D284,
      Appliance_Library!D285:D291,
      Appliance_Library!D292:D298,
      Appliance_Library!D299:D304,
      Appliance_Library!D305:D310,
      Appliance_Library!D311:D317,
      Appliance_Library!D318:D324
   ),
ROW()-ROW($D$4)+1))</f>
        <v>#REF!</v>
      </c>
      <c r="B16" s="65" t="e">
        <f>IF(User_Inputs!$D$11="","",
INDEX(
   CHOOSE(User_Inputs!$D$11,
      Appliance_Library!E16:E24,
      Appliance_Library!E25:E34,
      Appliance_Library!E35:E45,
      Appliance_Library!E46:E58,
      Appliance_Library!E59:E72,
      Appliance_Library!E73:E85,
      Appliance_Library!E86:E94,
      Appliance_Library!E95:E104,
      Appliance_Library!E105:E114,
      Appliance_Library!E115:E123,
      Appliance_Library!E124:E132,
      Appliance_Library!E133:E140,
      Appliance_Library!E141:E145,
      Appliance_Library!E146:E152,
      Appliance_Library!E153:E160,
      Appliance_Library!E161:E168,
      Appliance_Library!E169:E175,
      Appliance_Library!E176:E185,
      Appliance_Library!E186:E192,
      Appliance_Library!E193:E198,
      Appliance_Library!E199:E203,
      Appliance_Library!E204:E209,
      Appliance_Library!E210:E214,
      Appliance_Library!E215:E220,
      Appliance_Library!E221:E225,
      Appliance_Library!E226:E231,
      Appliance_Library!E232:E235,
      Appliance_Library!E236:E240,
      Appliance_Library!E241:E245,
      Appliance_Library!E246:E253,
      Appliance_Library!E254:E260,
      Appliance_Library!E261:E268,
      Appliance_Library!E269:E277,
      Appliance_Library!E278:E284,
      Appliance_Library!E285:E291,
      Appliance_Library!E292:E298,
      Appliance_Library!E299:E304,
      Appliance_Library!E305:E310,
      Appliance_Library!E311:E317,
      Appliance_Library!E318:E324
   ),
ROW()-ROW($E$4)+1))</f>
        <v>#REF!</v>
      </c>
      <c r="C16" s="65" t="e">
        <f>IF(User_Inputs!$D$11="","",
INDEX(
   CHOOSE(User_Inputs!$D$11,
      Appliance_Library!F16:F24,
      Appliance_Library!F25:F34,
      Appliance_Library!F35:F45,
      Appliance_Library!F46:F58,
      Appliance_Library!F59:F72,
      Appliance_Library!F73:F85,
      Appliance_Library!F86:F94,
      Appliance_Library!F95:F104,
      Appliance_Library!F105:F114,
      Appliance_Library!F115:F123,
      Appliance_Library!F124:F132,
      Appliance_Library!F133:F140,
      Appliance_Library!F141:F145,
      Appliance_Library!F146:F152,
      Appliance_Library!F153:F160,
      Appliance_Library!F161:F168,
      Appliance_Library!F169:F175,
      Appliance_Library!F176:F185,
      Appliance_Library!F186:F192,
      Appliance_Library!F193:F198,
      Appliance_Library!F199:F203,
      Appliance_Library!F204:F209,
      Appliance_Library!F210:F214,
      Appliance_Library!F215:F220,
      Appliance_Library!F221:F225,
      Appliance_Library!F226:F231,
      Appliance_Library!F232:F235,
      Appliance_Library!F236:F240,
      Appliance_Library!F241:F245,
      Appliance_Library!F246:F253,
      Appliance_Library!F254:F260,
      Appliance_Library!F261:F268,
      Appliance_Library!F269:F277,
      Appliance_Library!F278:F284,
      Appliance_Library!F285:F291,
      Appliance_Library!F292:F298,
      Appliance_Library!F299:F304,
      Appliance_Library!F305:F310,
      Appliance_Library!F311:F317,
      Appliance_Library!F318:F324
   ),
ROW()-ROW($F$4)+1))</f>
        <v>#REF!</v>
      </c>
      <c r="D16" s="65" t="e">
        <f>IF(User_Inputs!$D$11="","",
INDEX(
   CHOOSE(User_Inputs!$D$11,
      Appliance_Library!G16:G24,
      Appliance_Library!G25:G34,
      Appliance_Library!G35:G45,
      Appliance_Library!G46:G58,
      Appliance_Library!G59:G72,
      Appliance_Library!G73:G85,
      Appliance_Library!G86:G94,
      Appliance_Library!G95:G104,
      Appliance_Library!G105:G114,
      Appliance_Library!G115:G123,
      Appliance_Library!G124:G132,
      Appliance_Library!G133:G140,
      Appliance_Library!G141:G145,
      Appliance_Library!G146:G152,
      Appliance_Library!G153:G160,
      Appliance_Library!G161:G168,
      Appliance_Library!G169:G175,
      Appliance_Library!G176:G185,
      Appliance_Library!G186:G192,
      Appliance_Library!G193:G198,
      Appliance_Library!G199:G203,
      Appliance_Library!G204:G209,
      Appliance_Library!G210:G214,
      Appliance_Library!G215:G220,
      Appliance_Library!G221:G225,
      Appliance_Library!G226:G231,
      Appliance_Library!G232:G235,
      Appliance_Library!G236:G240,
      Appliance_Library!G241:G245,
      Appliance_Library!G246:G253,
      Appliance_Library!G254:G260,
      Appliance_Library!G261:G268,
      Appliance_Library!G269:G277,
      Appliance_Library!G278:G284,
      Appliance_Library!G285:G291,
      Appliance_Library!G292:G298,
      Appliance_Library!G299:G304,
      Appliance_Library!G305:G310,
      Appliance_Library!G311:G317,
      Appliance_Library!G318:G324
   ),
ROW()-ROW($G$4)+1))</f>
        <v>#REF!</v>
      </c>
      <c r="E16" s="65" t="e">
        <f>IF(User_Inputs!$D$11="","",
INDEX(
   CHOOSE(User_Inputs!$D$11,
      Appliance_Library!H16:H24,
      Appliance_Library!H25:H34,
      Appliance_Library!H35:H45,
      Appliance_Library!H46:H58,
      Appliance_Library!H59:H72,
      Appliance_Library!H73:H85,
      Appliance_Library!H86:H94,
      Appliance_Library!H95:H104,
      Appliance_Library!H105:H114,
      Appliance_Library!H115:H123,
      Appliance_Library!H124:H132,
      Appliance_Library!H133:H140,
      Appliance_Library!H141:H145,
      Appliance_Library!H146:H152,
      Appliance_Library!H153:H160,
      Appliance_Library!H161:H168,
      Appliance_Library!H169:H175,
      Appliance_Library!H176:H185,
      Appliance_Library!H186:H192,
      Appliance_Library!H193:H198,
      Appliance_Library!H199:H203,
      Appliance_Library!H204:H209,
      Appliance_Library!H210:H214,
      Appliance_Library!H215:H220,
      Appliance_Library!H221:H225,
      Appliance_Library!H226:H231,
      Appliance_Library!H232:H235,
      Appliance_Library!H236:H240,
      Appliance_Library!H241:H245,
      Appliance_Library!H246:H253,
      Appliance_Library!H254:H260,
      Appliance_Library!H261:H268,
      Appliance_Library!H269:H277,
      Appliance_Library!H278:H284,
      Appliance_Library!H285:H291,
      Appliance_Library!H292:H298,
      Appliance_Library!H299:H304,
      Appliance_Library!H305:H310,
      Appliance_Library!H311:H317,
      Appliance_Library!H318:H324
   ),
ROW()-ROW($H$4)+1))</f>
        <v>#REF!</v>
      </c>
      <c r="F16" s="14">
        <f t="shared" si="0"/>
        <v>0</v>
      </c>
      <c r="G16" s="75">
        <f t="shared" si="1"/>
        <v>0</v>
      </c>
      <c r="H16" s="14">
        <f t="shared" si="2"/>
        <v>0</v>
      </c>
      <c r="I16" s="18">
        <f t="shared" si="3"/>
        <v>0</v>
      </c>
    </row>
    <row r="17" spans="1:9">
      <c r="A17" s="54" t="e">
        <f>IF(User_Inputs!$D$11="","",
INDEX(
   CHOOSE(User_Inputs!$D$11,
      Appliance_Library!D17:D25,
      Appliance_Library!D26:D35,
      Appliance_Library!D36:D46,
      Appliance_Library!D47:D59,
      Appliance_Library!D60:D73,
      Appliance_Library!D74:D86,
      Appliance_Library!D87:D95,
      Appliance_Library!D96:D105,
      Appliance_Library!D106:D115,
      Appliance_Library!D116:D124,
      Appliance_Library!D125:D133,
      Appliance_Library!D134:D141,
      Appliance_Library!D142:D146,
      Appliance_Library!D147:D153,
      Appliance_Library!D154:D161,
      Appliance_Library!D162:D169,
      Appliance_Library!D170:D176,
      Appliance_Library!D177:D186,
      Appliance_Library!D187:D193,
      Appliance_Library!D194:D199,
      Appliance_Library!D200:D204,
      Appliance_Library!D205:D210,
      Appliance_Library!D211:D215,
      Appliance_Library!D216:D221,
      Appliance_Library!D222:D226,
      Appliance_Library!D227:D232,
      Appliance_Library!D233:D236,
      Appliance_Library!D237:D241,
      Appliance_Library!D242:D246,
      Appliance_Library!D247:D254,
      Appliance_Library!D255:D261,
      Appliance_Library!D262:D269,
      Appliance_Library!D270:D278,
      Appliance_Library!D279:D285,
      Appliance_Library!D286:D292,
      Appliance_Library!D293:D299,
      Appliance_Library!D300:D305,
      Appliance_Library!D306:D311,
      Appliance_Library!D312:D318,
      Appliance_Library!D319:D325
   ),
ROW()-ROW($D$4)+1))</f>
        <v>#REF!</v>
      </c>
      <c r="B17" s="65" t="e">
        <f>IF(User_Inputs!$D$11="","",
INDEX(
   CHOOSE(User_Inputs!$D$11,
      Appliance_Library!E17:E25,
      Appliance_Library!E26:E35,
      Appliance_Library!E36:E46,
      Appliance_Library!E47:E59,
      Appliance_Library!E60:E73,
      Appliance_Library!E74:E86,
      Appliance_Library!E87:E95,
      Appliance_Library!E96:E105,
      Appliance_Library!E106:E115,
      Appliance_Library!E116:E124,
      Appliance_Library!E125:E133,
      Appliance_Library!E134:E141,
      Appliance_Library!E142:E146,
      Appliance_Library!E147:E153,
      Appliance_Library!E154:E161,
      Appliance_Library!E162:E169,
      Appliance_Library!E170:E176,
      Appliance_Library!E177:E186,
      Appliance_Library!E187:E193,
      Appliance_Library!E194:E199,
      Appliance_Library!E200:E204,
      Appliance_Library!E205:E210,
      Appliance_Library!E211:E215,
      Appliance_Library!E216:E221,
      Appliance_Library!E222:E226,
      Appliance_Library!E227:E232,
      Appliance_Library!E233:E236,
      Appliance_Library!E237:E241,
      Appliance_Library!E242:E246,
      Appliance_Library!E247:E254,
      Appliance_Library!E255:E261,
      Appliance_Library!E262:E269,
      Appliance_Library!E270:E278,
      Appliance_Library!E279:E285,
      Appliance_Library!E286:E292,
      Appliance_Library!E293:E299,
      Appliance_Library!E300:E305,
      Appliance_Library!E306:E311,
      Appliance_Library!E312:E318,
      Appliance_Library!E319:E325
   ),
ROW()-ROW($E$4)+1))</f>
        <v>#REF!</v>
      </c>
      <c r="C17" s="65" t="e">
        <f>IF(User_Inputs!$D$11="","",
INDEX(
   CHOOSE(User_Inputs!$D$11,
      Appliance_Library!F17:F25,
      Appliance_Library!F26:F35,
      Appliance_Library!F36:F46,
      Appliance_Library!F47:F59,
      Appliance_Library!F60:F73,
      Appliance_Library!F74:F86,
      Appliance_Library!F87:F95,
      Appliance_Library!F96:F105,
      Appliance_Library!F106:F115,
      Appliance_Library!F116:F124,
      Appliance_Library!F125:F133,
      Appliance_Library!F134:F141,
      Appliance_Library!F142:F146,
      Appliance_Library!F147:F153,
      Appliance_Library!F154:F161,
      Appliance_Library!F162:F169,
      Appliance_Library!F170:F176,
      Appliance_Library!F177:F186,
      Appliance_Library!F187:F193,
      Appliance_Library!F194:F199,
      Appliance_Library!F200:F204,
      Appliance_Library!F205:F210,
      Appliance_Library!F211:F215,
      Appliance_Library!F216:F221,
      Appliance_Library!F222:F226,
      Appliance_Library!F227:F232,
      Appliance_Library!F233:F236,
      Appliance_Library!F237:F241,
      Appliance_Library!F242:F246,
      Appliance_Library!F247:F254,
      Appliance_Library!F255:F261,
      Appliance_Library!F262:F269,
      Appliance_Library!F270:F278,
      Appliance_Library!F279:F285,
      Appliance_Library!F286:F292,
      Appliance_Library!F293:F299,
      Appliance_Library!F300:F305,
      Appliance_Library!F306:F311,
      Appliance_Library!F312:F318,
      Appliance_Library!F319:F325
   ),
ROW()-ROW($F$4)+1))</f>
        <v>#REF!</v>
      </c>
      <c r="D17" s="65" t="e">
        <f>IF(User_Inputs!$D$11="","",
INDEX(
   CHOOSE(User_Inputs!$D$11,
      Appliance_Library!G17:G25,
      Appliance_Library!G26:G35,
      Appliance_Library!G36:G46,
      Appliance_Library!G47:G59,
      Appliance_Library!G60:G73,
      Appliance_Library!G74:G86,
      Appliance_Library!G87:G95,
      Appliance_Library!G96:G105,
      Appliance_Library!G106:G115,
      Appliance_Library!G116:G124,
      Appliance_Library!G125:G133,
      Appliance_Library!G134:G141,
      Appliance_Library!G142:G146,
      Appliance_Library!G147:G153,
      Appliance_Library!G154:G161,
      Appliance_Library!G162:G169,
      Appliance_Library!G170:G176,
      Appliance_Library!G177:G186,
      Appliance_Library!G187:G193,
      Appliance_Library!G194:G199,
      Appliance_Library!G200:G204,
      Appliance_Library!G205:G210,
      Appliance_Library!G211:G215,
      Appliance_Library!G216:G221,
      Appliance_Library!G222:G226,
      Appliance_Library!G227:G232,
      Appliance_Library!G233:G236,
      Appliance_Library!G237:G241,
      Appliance_Library!G242:G246,
      Appliance_Library!G247:G254,
      Appliance_Library!G255:G261,
      Appliance_Library!G262:G269,
      Appliance_Library!G270:G278,
      Appliance_Library!G279:G285,
      Appliance_Library!G286:G292,
      Appliance_Library!G293:G299,
      Appliance_Library!G300:G305,
      Appliance_Library!G306:G311,
      Appliance_Library!G312:G318,
      Appliance_Library!G319:G325
   ),
ROW()-ROW($G$4)+1))</f>
        <v>#REF!</v>
      </c>
      <c r="E17" s="65" t="e">
        <f>IF(User_Inputs!$D$11="","",
INDEX(
   CHOOSE(User_Inputs!$D$11,
      Appliance_Library!H17:H25,
      Appliance_Library!H26:H35,
      Appliance_Library!H36:H46,
      Appliance_Library!H47:H59,
      Appliance_Library!H60:H73,
      Appliance_Library!H74:H86,
      Appliance_Library!H87:H95,
      Appliance_Library!H96:H105,
      Appliance_Library!H106:H115,
      Appliance_Library!H116:H124,
      Appliance_Library!H125:H133,
      Appliance_Library!H134:H141,
      Appliance_Library!H142:H146,
      Appliance_Library!H147:H153,
      Appliance_Library!H154:H161,
      Appliance_Library!H162:H169,
      Appliance_Library!H170:H176,
      Appliance_Library!H177:H186,
      Appliance_Library!H187:H193,
      Appliance_Library!H194:H199,
      Appliance_Library!H200:H204,
      Appliance_Library!H205:H210,
      Appliance_Library!H211:H215,
      Appliance_Library!H216:H221,
      Appliance_Library!H222:H226,
      Appliance_Library!H227:H232,
      Appliance_Library!H233:H236,
      Appliance_Library!H237:H241,
      Appliance_Library!H242:H246,
      Appliance_Library!H247:H254,
      Appliance_Library!H255:H261,
      Appliance_Library!H262:H269,
      Appliance_Library!H270:H278,
      Appliance_Library!H279:H285,
      Appliance_Library!H286:H292,
      Appliance_Library!H293:H299,
      Appliance_Library!H300:H305,
      Appliance_Library!H306:H311,
      Appliance_Library!H312:H318,
      Appliance_Library!H319:H325
   ),
ROW()-ROW($H$4)+1))</f>
        <v>#REF!</v>
      </c>
      <c r="F17" s="14">
        <f t="shared" si="0"/>
        <v>0</v>
      </c>
      <c r="G17" s="75">
        <f t="shared" si="1"/>
        <v>0</v>
      </c>
      <c r="H17" s="14">
        <f t="shared" si="2"/>
        <v>0</v>
      </c>
      <c r="I17" s="18">
        <f t="shared" si="3"/>
        <v>0</v>
      </c>
    </row>
    <row r="18" spans="1:9">
      <c r="A18" s="54" t="e">
        <f>IF(User_Inputs!$D$11="","",
INDEX(
   CHOOSE(User_Inputs!$D$11,
      Appliance_Library!D18:D26,
      Appliance_Library!D27:D36,
      Appliance_Library!D37:D47,
      Appliance_Library!D48:D60,
      Appliance_Library!D61:D74,
      Appliance_Library!D75:D87,
      Appliance_Library!D88:D96,
      Appliance_Library!D97:D106,
      Appliance_Library!D107:D116,
      Appliance_Library!D117:D125,
      Appliance_Library!D126:D134,
      Appliance_Library!D135:D142,
      Appliance_Library!D143:D147,
      Appliance_Library!D148:D154,
      Appliance_Library!D155:D162,
      Appliance_Library!D163:D170,
      Appliance_Library!D171:D177,
      Appliance_Library!D178:D187,
      Appliance_Library!D188:D194,
      Appliance_Library!D195:D200,
      Appliance_Library!D201:D205,
      Appliance_Library!D206:D211,
      Appliance_Library!D212:D216,
      Appliance_Library!D217:D222,
      Appliance_Library!D223:D227,
      Appliance_Library!D228:D233,
      Appliance_Library!D234:D237,
      Appliance_Library!D238:D242,
      Appliance_Library!D243:D247,
      Appliance_Library!D248:D255,
      Appliance_Library!D256:D262,
      Appliance_Library!D263:D270,
      Appliance_Library!D271:D279,
      Appliance_Library!D280:D286,
      Appliance_Library!D287:D293,
      Appliance_Library!D294:D300,
      Appliance_Library!D301:D306,
      Appliance_Library!D307:D312,
      Appliance_Library!D313:D319,
      Appliance_Library!D320:D326
   ),
ROW()-ROW($D$4)+1))</f>
        <v>#REF!</v>
      </c>
      <c r="B18" s="65" t="e">
        <f>IF(User_Inputs!$D$11="","",
INDEX(
   CHOOSE(User_Inputs!$D$11,
      Appliance_Library!E18:E26,
      Appliance_Library!E27:E36,
      Appliance_Library!E37:E47,
      Appliance_Library!E48:E60,
      Appliance_Library!E61:E74,
      Appliance_Library!E75:E87,
      Appliance_Library!E88:E96,
      Appliance_Library!E97:E106,
      Appliance_Library!E107:E116,
      Appliance_Library!E117:E125,
      Appliance_Library!E126:E134,
      Appliance_Library!E135:E142,
      Appliance_Library!E143:E147,
      Appliance_Library!E148:E154,
      Appliance_Library!E155:E162,
      Appliance_Library!E163:E170,
      Appliance_Library!E171:E177,
      Appliance_Library!E178:E187,
      Appliance_Library!E188:E194,
      Appliance_Library!E195:E200,
      Appliance_Library!E201:E205,
      Appliance_Library!E206:E211,
      Appliance_Library!E212:E216,
      Appliance_Library!E217:E222,
      Appliance_Library!E223:E227,
      Appliance_Library!E228:E233,
      Appliance_Library!E234:E237,
      Appliance_Library!E238:E242,
      Appliance_Library!E243:E247,
      Appliance_Library!E248:E255,
      Appliance_Library!E256:E262,
      Appliance_Library!E263:E270,
      Appliance_Library!E271:E279,
      Appliance_Library!E280:E286,
      Appliance_Library!E287:E293,
      Appliance_Library!E294:E300,
      Appliance_Library!E301:E306,
      Appliance_Library!E307:E312,
      Appliance_Library!E313:E319,
      Appliance_Library!E320:E326
   ),
ROW()-ROW($E$4)+1))</f>
        <v>#REF!</v>
      </c>
      <c r="C18" s="65" t="e">
        <f>IF(User_Inputs!$D$11="","",
INDEX(
   CHOOSE(User_Inputs!$D$11,
      Appliance_Library!F18:F26,
      Appliance_Library!F27:F36,
      Appliance_Library!F37:F47,
      Appliance_Library!F48:F60,
      Appliance_Library!F61:F74,
      Appliance_Library!F75:F87,
      Appliance_Library!F88:F96,
      Appliance_Library!F97:F106,
      Appliance_Library!F107:F116,
      Appliance_Library!F117:F125,
      Appliance_Library!F126:F134,
      Appliance_Library!F135:F142,
      Appliance_Library!F143:F147,
      Appliance_Library!F148:F154,
      Appliance_Library!F155:F162,
      Appliance_Library!F163:F170,
      Appliance_Library!F171:F177,
      Appliance_Library!F178:F187,
      Appliance_Library!F188:F194,
      Appliance_Library!F195:F200,
      Appliance_Library!F201:F205,
      Appliance_Library!F206:F211,
      Appliance_Library!F212:F216,
      Appliance_Library!F217:F222,
      Appliance_Library!F223:F227,
      Appliance_Library!F228:F233,
      Appliance_Library!F234:F237,
      Appliance_Library!F238:F242,
      Appliance_Library!F243:F247,
      Appliance_Library!F248:F255,
      Appliance_Library!F256:F262,
      Appliance_Library!F263:F270,
      Appliance_Library!F271:F279,
      Appliance_Library!F280:F286,
      Appliance_Library!F287:F293,
      Appliance_Library!F294:F300,
      Appliance_Library!F301:F306,
      Appliance_Library!F307:F312,
      Appliance_Library!F313:F319,
      Appliance_Library!F320:F326
   ),
ROW()-ROW($F$4)+1))</f>
        <v>#REF!</v>
      </c>
      <c r="D18" s="65" t="e">
        <f>IF(User_Inputs!$D$11="","",
INDEX(
   CHOOSE(User_Inputs!$D$11,
      Appliance_Library!G18:G26,
      Appliance_Library!G27:G36,
      Appliance_Library!G37:G47,
      Appliance_Library!G48:G60,
      Appliance_Library!G61:G74,
      Appliance_Library!G75:G87,
      Appliance_Library!G88:G96,
      Appliance_Library!G97:G106,
      Appliance_Library!G107:G116,
      Appliance_Library!G117:G125,
      Appliance_Library!G126:G134,
      Appliance_Library!G135:G142,
      Appliance_Library!G143:G147,
      Appliance_Library!G148:G154,
      Appliance_Library!G155:G162,
      Appliance_Library!G163:G170,
      Appliance_Library!G171:G177,
      Appliance_Library!G178:G187,
      Appliance_Library!G188:G194,
      Appliance_Library!G195:G200,
      Appliance_Library!G201:G205,
      Appliance_Library!G206:G211,
      Appliance_Library!G212:G216,
      Appliance_Library!G217:G222,
      Appliance_Library!G223:G227,
      Appliance_Library!G228:G233,
      Appliance_Library!G234:G237,
      Appliance_Library!G238:G242,
      Appliance_Library!G243:G247,
      Appliance_Library!G248:G255,
      Appliance_Library!G256:G262,
      Appliance_Library!G263:G270,
      Appliance_Library!G271:G279,
      Appliance_Library!G280:G286,
      Appliance_Library!G287:G293,
      Appliance_Library!G294:G300,
      Appliance_Library!G301:G306,
      Appliance_Library!G307:G312,
      Appliance_Library!G313:G319,
      Appliance_Library!G320:G326
   ),
ROW()-ROW($G$4)+1))</f>
        <v>#REF!</v>
      </c>
      <c r="E18" s="65" t="e">
        <f>IF(User_Inputs!$D$11="","",
INDEX(
   CHOOSE(User_Inputs!$D$11,
      Appliance_Library!H18:H26,
      Appliance_Library!H27:H36,
      Appliance_Library!H37:H47,
      Appliance_Library!H48:H60,
      Appliance_Library!H61:H74,
      Appliance_Library!H75:H87,
      Appliance_Library!H88:H96,
      Appliance_Library!H97:H106,
      Appliance_Library!H107:H116,
      Appliance_Library!H117:H125,
      Appliance_Library!H126:H134,
      Appliance_Library!H135:H142,
      Appliance_Library!H143:H147,
      Appliance_Library!H148:H154,
      Appliance_Library!H155:H162,
      Appliance_Library!H163:H170,
      Appliance_Library!H171:H177,
      Appliance_Library!H178:H187,
      Appliance_Library!H188:H194,
      Appliance_Library!H195:H200,
      Appliance_Library!H201:H205,
      Appliance_Library!H206:H211,
      Appliance_Library!H212:H216,
      Appliance_Library!H217:H222,
      Appliance_Library!H223:H227,
      Appliance_Library!H228:H233,
      Appliance_Library!H234:H237,
      Appliance_Library!H238:H242,
      Appliance_Library!H243:H247,
      Appliance_Library!H248:H255,
      Appliance_Library!H256:H262,
      Appliance_Library!H263:H270,
      Appliance_Library!H271:H279,
      Appliance_Library!H280:H286,
      Appliance_Library!H287:H293,
      Appliance_Library!H294:H300,
      Appliance_Library!H301:H306,
      Appliance_Library!H307:H312,
      Appliance_Library!H313:H319,
      Appliance_Library!H320:H326
   ),
ROW()-ROW($H$4)+1))</f>
        <v>#REF!</v>
      </c>
      <c r="F18" s="14">
        <f t="shared" si="0"/>
        <v>0</v>
      </c>
      <c r="G18" s="75">
        <f t="shared" si="1"/>
        <v>0</v>
      </c>
      <c r="H18" s="14">
        <f t="shared" si="2"/>
        <v>0</v>
      </c>
      <c r="I18" s="18">
        <f t="shared" si="3"/>
        <v>0</v>
      </c>
    </row>
    <row r="19" spans="1:9">
      <c r="A19" s="54" t="e">
        <f>IF(User_Inputs!$D$11="","",
INDEX(
   CHOOSE(User_Inputs!$D$11,
      Appliance_Library!D19:D27,
      Appliance_Library!D28:D37,
      Appliance_Library!D38:D48,
      Appliance_Library!D49:D61,
      Appliance_Library!D62:D75,
      Appliance_Library!D76:D88,
      Appliance_Library!D89:D97,
      Appliance_Library!D98:D107,
      Appliance_Library!D108:D117,
      Appliance_Library!D118:D126,
      Appliance_Library!D127:D135,
      Appliance_Library!D136:D143,
      Appliance_Library!D144:D148,
      Appliance_Library!D149:D155,
      Appliance_Library!D156:D163,
      Appliance_Library!D164:D171,
      Appliance_Library!D172:D178,
      Appliance_Library!D179:D188,
      Appliance_Library!D189:D195,
      Appliance_Library!D196:D201,
      Appliance_Library!D202:D206,
      Appliance_Library!D207:D212,
      Appliance_Library!D213:D217,
      Appliance_Library!D218:D223,
      Appliance_Library!D224:D228,
      Appliance_Library!D229:D234,
      Appliance_Library!D235:D238,
      Appliance_Library!D239:D243,
      Appliance_Library!D244:D248,
      Appliance_Library!D249:D256,
      Appliance_Library!D257:D263,
      Appliance_Library!D264:D271,
      Appliance_Library!D272:D280,
      Appliance_Library!D281:D287,
      Appliance_Library!D288:D294,
      Appliance_Library!D295:D301,
      Appliance_Library!D302:D307,
      Appliance_Library!D308:D313,
      Appliance_Library!D314:D320,
      Appliance_Library!D321:D327
   ),
ROW()-ROW($D$4)+1))</f>
        <v>#REF!</v>
      </c>
      <c r="B19" s="65" t="e">
        <f>IF(User_Inputs!$D$11="","",
INDEX(
   CHOOSE(User_Inputs!$D$11,
      Appliance_Library!E19:E27,
      Appliance_Library!E28:E37,
      Appliance_Library!E38:E48,
      Appliance_Library!E49:E61,
      Appliance_Library!E62:E75,
      Appliance_Library!E76:E88,
      Appliance_Library!E89:E97,
      Appliance_Library!E98:E107,
      Appliance_Library!E108:E117,
      Appliance_Library!E118:E126,
      Appliance_Library!E127:E135,
      Appliance_Library!E136:E143,
      Appliance_Library!E144:E148,
      Appliance_Library!E149:E155,
      Appliance_Library!E156:E163,
      Appliance_Library!E164:E171,
      Appliance_Library!E172:E178,
      Appliance_Library!E179:E188,
      Appliance_Library!E189:E195,
      Appliance_Library!E196:E201,
      Appliance_Library!E202:E206,
      Appliance_Library!E207:E212,
      Appliance_Library!E213:E217,
      Appliance_Library!E218:E223,
      Appliance_Library!E224:E228,
      Appliance_Library!E229:E234,
      Appliance_Library!E235:E238,
      Appliance_Library!E239:E243,
      Appliance_Library!E244:E248,
      Appliance_Library!E249:E256,
      Appliance_Library!E257:E263,
      Appliance_Library!E264:E271,
      Appliance_Library!E272:E280,
      Appliance_Library!E281:E287,
      Appliance_Library!E288:E294,
      Appliance_Library!E295:E301,
      Appliance_Library!E302:E307,
      Appliance_Library!E308:E313,
      Appliance_Library!E314:E320,
      Appliance_Library!E321:E327
   ),
ROW()-ROW($E$4)+1))</f>
        <v>#REF!</v>
      </c>
      <c r="C19" s="65" t="e">
        <f>IF(User_Inputs!$D$11="","",
INDEX(
   CHOOSE(User_Inputs!$D$11,
      Appliance_Library!F19:F27,
      Appliance_Library!F28:F37,
      Appliance_Library!F38:F48,
      Appliance_Library!F49:F61,
      Appliance_Library!F62:F75,
      Appliance_Library!F76:F88,
      Appliance_Library!F89:F97,
      Appliance_Library!F98:F107,
      Appliance_Library!F108:F117,
      Appliance_Library!F118:F126,
      Appliance_Library!F127:F135,
      Appliance_Library!F136:F143,
      Appliance_Library!F144:F148,
      Appliance_Library!F149:F155,
      Appliance_Library!F156:F163,
      Appliance_Library!F164:F171,
      Appliance_Library!F172:F178,
      Appliance_Library!F179:F188,
      Appliance_Library!F189:F195,
      Appliance_Library!F196:F201,
      Appliance_Library!F202:F206,
      Appliance_Library!F207:F212,
      Appliance_Library!F213:F217,
      Appliance_Library!F218:F223,
      Appliance_Library!F224:F228,
      Appliance_Library!F229:F234,
      Appliance_Library!F235:F238,
      Appliance_Library!F239:F243,
      Appliance_Library!F244:F248,
      Appliance_Library!F249:F256,
      Appliance_Library!F257:F263,
      Appliance_Library!F264:F271,
      Appliance_Library!F272:F280,
      Appliance_Library!F281:F287,
      Appliance_Library!F288:F294,
      Appliance_Library!F295:F301,
      Appliance_Library!F302:F307,
      Appliance_Library!F308:F313,
      Appliance_Library!F314:F320,
      Appliance_Library!F321:F327
   ),
ROW()-ROW($F$4)+1))</f>
        <v>#REF!</v>
      </c>
      <c r="D19" s="65" t="e">
        <f>IF(User_Inputs!$D$11="","",
INDEX(
   CHOOSE(User_Inputs!$D$11,
      Appliance_Library!G19:G27,
      Appliance_Library!G28:G37,
      Appliance_Library!G38:G48,
      Appliance_Library!G49:G61,
      Appliance_Library!G62:G75,
      Appliance_Library!G76:G88,
      Appliance_Library!G89:G97,
      Appliance_Library!G98:G107,
      Appliance_Library!G108:G117,
      Appliance_Library!G118:G126,
      Appliance_Library!G127:G135,
      Appliance_Library!G136:G143,
      Appliance_Library!G144:G148,
      Appliance_Library!G149:G155,
      Appliance_Library!G156:G163,
      Appliance_Library!G164:G171,
      Appliance_Library!G172:G178,
      Appliance_Library!G179:G188,
      Appliance_Library!G189:G195,
      Appliance_Library!G196:G201,
      Appliance_Library!G202:G206,
      Appliance_Library!G207:G212,
      Appliance_Library!G213:G217,
      Appliance_Library!G218:G223,
      Appliance_Library!G224:G228,
      Appliance_Library!G229:G234,
      Appliance_Library!G235:G238,
      Appliance_Library!G239:G243,
      Appliance_Library!G244:G248,
      Appliance_Library!G249:G256,
      Appliance_Library!G257:G263,
      Appliance_Library!G264:G271,
      Appliance_Library!G272:G280,
      Appliance_Library!G281:G287,
      Appliance_Library!G288:G294,
      Appliance_Library!G295:G301,
      Appliance_Library!G302:G307,
      Appliance_Library!G308:G313,
      Appliance_Library!G314:G320,
      Appliance_Library!G321:G327
   ),
ROW()-ROW($G$4)+1))</f>
        <v>#REF!</v>
      </c>
      <c r="E19" s="65" t="e">
        <f>IF(User_Inputs!$D$11="","",
INDEX(
   CHOOSE(User_Inputs!$D$11,
      Appliance_Library!H19:H27,
      Appliance_Library!H28:H37,
      Appliance_Library!H38:H48,
      Appliance_Library!H49:H61,
      Appliance_Library!H62:H75,
      Appliance_Library!H76:H88,
      Appliance_Library!H89:H97,
      Appliance_Library!H98:H107,
      Appliance_Library!H108:H117,
      Appliance_Library!H118:H126,
      Appliance_Library!H127:H135,
      Appliance_Library!H136:H143,
      Appliance_Library!H144:H148,
      Appliance_Library!H149:H155,
      Appliance_Library!H156:H163,
      Appliance_Library!H164:H171,
      Appliance_Library!H172:H178,
      Appliance_Library!H179:H188,
      Appliance_Library!H189:H195,
      Appliance_Library!H196:H201,
      Appliance_Library!H202:H206,
      Appliance_Library!H207:H212,
      Appliance_Library!H213:H217,
      Appliance_Library!H218:H223,
      Appliance_Library!H224:H228,
      Appliance_Library!H229:H234,
      Appliance_Library!H235:H238,
      Appliance_Library!H239:H243,
      Appliance_Library!H244:H248,
      Appliance_Library!H249:H256,
      Appliance_Library!H257:H263,
      Appliance_Library!H264:H271,
      Appliance_Library!H272:H280,
      Appliance_Library!H281:H287,
      Appliance_Library!H288:H294,
      Appliance_Library!H295:H301,
      Appliance_Library!H302:H307,
      Appliance_Library!H308:H313,
      Appliance_Library!H314:H320,
      Appliance_Library!H321:H327
   ),
ROW()-ROW($H$4)+1))</f>
        <v>#REF!</v>
      </c>
      <c r="F19" s="14">
        <f t="shared" si="0"/>
        <v>0</v>
      </c>
      <c r="G19" s="75">
        <f t="shared" si="1"/>
        <v>0</v>
      </c>
      <c r="H19" s="14">
        <f t="shared" si="2"/>
        <v>0</v>
      </c>
      <c r="I19" s="18">
        <f t="shared" si="3"/>
        <v>0</v>
      </c>
    </row>
    <row r="20" spans="1:9">
      <c r="A20" s="54" t="e">
        <f>IF(User_Inputs!$D$11="","",
INDEX(
   CHOOSE(User_Inputs!$D$11,
      Appliance_Library!D20:D28,
      Appliance_Library!D29:D38,
      Appliance_Library!D39:D49,
      Appliance_Library!D50:D62,
      Appliance_Library!D63:D76,
      Appliance_Library!D77:D89,
      Appliance_Library!D90:D98,
      Appliance_Library!D99:D108,
      Appliance_Library!D109:D118,
      Appliance_Library!D119:D127,
      Appliance_Library!D128:D136,
      Appliance_Library!D137:D144,
      Appliance_Library!D145:D149,
      Appliance_Library!D150:D156,
      Appliance_Library!D157:D164,
      Appliance_Library!D165:D172,
      Appliance_Library!D173:D179,
      Appliance_Library!D180:D189,
      Appliance_Library!D190:D196,
      Appliance_Library!D197:D202,
      Appliance_Library!D203:D207,
      Appliance_Library!D208:D213,
      Appliance_Library!D214:D218,
      Appliance_Library!D219:D224,
      Appliance_Library!D225:D229,
      Appliance_Library!D230:D235,
      Appliance_Library!D236:D239,
      Appliance_Library!D240:D244,
      Appliance_Library!D245:D249,
      Appliance_Library!D250:D257,
      Appliance_Library!D258:D264,
      Appliance_Library!D265:D272,
      Appliance_Library!D273:D281,
      Appliance_Library!D282:D288,
      Appliance_Library!D289:D295,
      Appliance_Library!D296:D302,
      Appliance_Library!D303:D308,
      Appliance_Library!D309:D314,
      Appliance_Library!D315:D321,
      Appliance_Library!D322:D328
   ),
ROW()-ROW($D$4)+1))</f>
        <v>#REF!</v>
      </c>
      <c r="B20" s="65" t="e">
        <f>IF(User_Inputs!$D$11="","",
INDEX(
   CHOOSE(User_Inputs!$D$11,
      Appliance_Library!E20:E28,
      Appliance_Library!E29:E38,
      Appliance_Library!E39:E49,
      Appliance_Library!E50:E62,
      Appliance_Library!E63:E76,
      Appliance_Library!E77:E89,
      Appliance_Library!E90:E98,
      Appliance_Library!E99:E108,
      Appliance_Library!E109:E118,
      Appliance_Library!E119:E127,
      Appliance_Library!E128:E136,
      Appliance_Library!E137:E144,
      Appliance_Library!E145:E149,
      Appliance_Library!E150:E156,
      Appliance_Library!E157:E164,
      Appliance_Library!E165:E172,
      Appliance_Library!E173:E179,
      Appliance_Library!E180:E189,
      Appliance_Library!E190:E196,
      Appliance_Library!E197:E202,
      Appliance_Library!E203:E207,
      Appliance_Library!E208:E213,
      Appliance_Library!E214:E218,
      Appliance_Library!E219:E224,
      Appliance_Library!E225:E229,
      Appliance_Library!E230:E235,
      Appliance_Library!E236:E239,
      Appliance_Library!E240:E244,
      Appliance_Library!E245:E249,
      Appliance_Library!E250:E257,
      Appliance_Library!E258:E264,
      Appliance_Library!E265:E272,
      Appliance_Library!E273:E281,
      Appliance_Library!E282:E288,
      Appliance_Library!E289:E295,
      Appliance_Library!E296:E302,
      Appliance_Library!E303:E308,
      Appliance_Library!E309:E314,
      Appliance_Library!E315:E321,
      Appliance_Library!E322:E328
   ),
ROW()-ROW($E$4)+1))</f>
        <v>#REF!</v>
      </c>
      <c r="C20" s="65" t="e">
        <f>IF(User_Inputs!$D$11="","",
INDEX(
   CHOOSE(User_Inputs!$D$11,
      Appliance_Library!F20:F28,
      Appliance_Library!F29:F38,
      Appliance_Library!F39:F49,
      Appliance_Library!F50:F62,
      Appliance_Library!F63:F76,
      Appliance_Library!F77:F89,
      Appliance_Library!F90:F98,
      Appliance_Library!F99:F108,
      Appliance_Library!F109:F118,
      Appliance_Library!F119:F127,
      Appliance_Library!F128:F136,
      Appliance_Library!F137:F144,
      Appliance_Library!F145:F149,
      Appliance_Library!F150:F156,
      Appliance_Library!F157:F164,
      Appliance_Library!F165:F172,
      Appliance_Library!F173:F179,
      Appliance_Library!F180:F189,
      Appliance_Library!F190:F196,
      Appliance_Library!F197:F202,
      Appliance_Library!F203:F207,
      Appliance_Library!F208:F213,
      Appliance_Library!F214:F218,
      Appliance_Library!F219:F224,
      Appliance_Library!F225:F229,
      Appliance_Library!F230:F235,
      Appliance_Library!F236:F239,
      Appliance_Library!F240:F244,
      Appliance_Library!F245:F249,
      Appliance_Library!F250:F257,
      Appliance_Library!F258:F264,
      Appliance_Library!F265:F272,
      Appliance_Library!F273:F281,
      Appliance_Library!F282:F288,
      Appliance_Library!F289:F295,
      Appliance_Library!F296:F302,
      Appliance_Library!F303:F308,
      Appliance_Library!F309:F314,
      Appliance_Library!F315:F321,
      Appliance_Library!F322:F328
   ),
ROW()-ROW($F$4)+1))</f>
        <v>#REF!</v>
      </c>
      <c r="D20" s="65" t="e">
        <f>IF(User_Inputs!$D$11="","",
INDEX(
   CHOOSE(User_Inputs!$D$11,
      Appliance_Library!G20:G28,
      Appliance_Library!G29:G38,
      Appliance_Library!G39:G49,
      Appliance_Library!G50:G62,
      Appliance_Library!G63:G76,
      Appliance_Library!G77:G89,
      Appliance_Library!G90:G98,
      Appliance_Library!G99:G108,
      Appliance_Library!G109:G118,
      Appliance_Library!G119:G127,
      Appliance_Library!G128:G136,
      Appliance_Library!G137:G144,
      Appliance_Library!G145:G149,
      Appliance_Library!G150:G156,
      Appliance_Library!G157:G164,
      Appliance_Library!G165:G172,
      Appliance_Library!G173:G179,
      Appliance_Library!G180:G189,
      Appliance_Library!G190:G196,
      Appliance_Library!G197:G202,
      Appliance_Library!G203:G207,
      Appliance_Library!G208:G213,
      Appliance_Library!G214:G218,
      Appliance_Library!G219:G224,
      Appliance_Library!G225:G229,
      Appliance_Library!G230:G235,
      Appliance_Library!G236:G239,
      Appliance_Library!G240:G244,
      Appliance_Library!G245:G249,
      Appliance_Library!G250:G257,
      Appliance_Library!G258:G264,
      Appliance_Library!G265:G272,
      Appliance_Library!G273:G281,
      Appliance_Library!G282:G288,
      Appliance_Library!G289:G295,
      Appliance_Library!G296:G302,
      Appliance_Library!G303:G308,
      Appliance_Library!G309:G314,
      Appliance_Library!G315:G321,
      Appliance_Library!G322:G328
   ),
ROW()-ROW($G$4)+1))</f>
        <v>#REF!</v>
      </c>
      <c r="E20" s="65" t="e">
        <f>IF(User_Inputs!$D$11="","",
INDEX(
   CHOOSE(User_Inputs!$D$11,
      Appliance_Library!H20:H28,
      Appliance_Library!H29:H38,
      Appliance_Library!H39:H49,
      Appliance_Library!H50:H62,
      Appliance_Library!H63:H76,
      Appliance_Library!H77:H89,
      Appliance_Library!H90:H98,
      Appliance_Library!H99:H108,
      Appliance_Library!H109:H118,
      Appliance_Library!H119:H127,
      Appliance_Library!H128:H136,
      Appliance_Library!H137:H144,
      Appliance_Library!H145:H149,
      Appliance_Library!H150:H156,
      Appliance_Library!H157:H164,
      Appliance_Library!H165:H172,
      Appliance_Library!H173:H179,
      Appliance_Library!H180:H189,
      Appliance_Library!H190:H196,
      Appliance_Library!H197:H202,
      Appliance_Library!H203:H207,
      Appliance_Library!H208:H213,
      Appliance_Library!H214:H218,
      Appliance_Library!H219:H224,
      Appliance_Library!H225:H229,
      Appliance_Library!H230:H235,
      Appliance_Library!H236:H239,
      Appliance_Library!H240:H244,
      Appliance_Library!H245:H249,
      Appliance_Library!H250:H257,
      Appliance_Library!H258:H264,
      Appliance_Library!H265:H272,
      Appliance_Library!H273:H281,
      Appliance_Library!H282:H288,
      Appliance_Library!H289:H295,
      Appliance_Library!H296:H302,
      Appliance_Library!H303:H308,
      Appliance_Library!H309:H314,
      Appliance_Library!H315:H321,
      Appliance_Library!H322:H328
   ),
ROW()-ROW($H$4)+1))</f>
        <v>#REF!</v>
      </c>
      <c r="F20" s="14">
        <f t="shared" si="0"/>
        <v>0</v>
      </c>
      <c r="G20" s="75">
        <f t="shared" si="1"/>
        <v>0</v>
      </c>
      <c r="H20" s="14">
        <f t="shared" si="2"/>
        <v>0</v>
      </c>
      <c r="I20" s="18">
        <f t="shared" si="3"/>
        <v>0</v>
      </c>
    </row>
    <row r="21" spans="1:9">
      <c r="A21" s="54"/>
      <c r="B21" s="4"/>
      <c r="C21" s="4"/>
      <c r="D21" s="4"/>
      <c r="E21" s="4"/>
      <c r="F21" s="14">
        <f t="shared" si="0"/>
        <v>0</v>
      </c>
      <c r="G21" s="75">
        <f t="shared" si="1"/>
        <v>0</v>
      </c>
      <c r="H21" s="14">
        <f t="shared" si="2"/>
        <v>0</v>
      </c>
      <c r="I21" s="18">
        <f t="shared" si="3"/>
        <v>0</v>
      </c>
    </row>
    <row r="22" spans="1:9">
      <c r="A22" s="54"/>
      <c r="B22" s="4"/>
      <c r="C22" s="4"/>
      <c r="D22" s="4"/>
      <c r="E22" s="4"/>
      <c r="F22" s="14">
        <f t="shared" si="0"/>
        <v>0</v>
      </c>
      <c r="G22" s="75">
        <f t="shared" si="1"/>
        <v>0</v>
      </c>
      <c r="H22" s="14">
        <f t="shared" si="2"/>
        <v>0</v>
      </c>
      <c r="I22" s="18">
        <f t="shared" si="3"/>
        <v>0</v>
      </c>
    </row>
    <row r="23" spans="1:9">
      <c r="A23" s="3"/>
      <c r="B23" s="4"/>
      <c r="C23" s="4"/>
      <c r="D23" s="4"/>
      <c r="E23" s="4"/>
      <c r="F23" s="14">
        <f t="shared" si="0"/>
        <v>0</v>
      </c>
      <c r="G23" s="75">
        <f t="shared" si="1"/>
        <v>0</v>
      </c>
      <c r="H23" s="14">
        <f t="shared" si="2"/>
        <v>0</v>
      </c>
      <c r="I23" s="18">
        <f>IFERROR(F23*#REF!,0)</f>
        <v>0</v>
      </c>
    </row>
    <row r="24" spans="1:9">
      <c r="A24" s="54"/>
      <c r="B24" s="4"/>
      <c r="C24" s="4"/>
      <c r="D24" s="4"/>
      <c r="E24" s="4"/>
      <c r="F24" s="14">
        <f t="shared" ref="F24:F29" si="4">IFERROR(C24*E24,0)</f>
        <v>0</v>
      </c>
      <c r="G24" s="75">
        <f t="shared" ref="G24:G29" si="5">IFERROR(F24*B24*D24/1000,0)</f>
        <v>0</v>
      </c>
      <c r="H24" s="14">
        <f t="shared" ref="H24:H29" si="6">G24*30</f>
        <v>0</v>
      </c>
      <c r="I24" s="18">
        <f t="shared" ref="I24" si="7">IFERROR(F24*B24,0)</f>
        <v>0</v>
      </c>
    </row>
    <row r="25" spans="1:9">
      <c r="A25" s="3"/>
      <c r="B25" s="4"/>
      <c r="C25" s="4"/>
      <c r="D25" s="4"/>
      <c r="E25" s="4"/>
      <c r="F25" s="14">
        <f t="shared" si="4"/>
        <v>0</v>
      </c>
      <c r="G25" s="75">
        <f t="shared" si="5"/>
        <v>0</v>
      </c>
      <c r="H25" s="14">
        <f t="shared" si="6"/>
        <v>0</v>
      </c>
      <c r="I25" s="18">
        <f>IFERROR(F25*#REF!,0)</f>
        <v>0</v>
      </c>
    </row>
    <row r="26" spans="1:9">
      <c r="A26" s="54"/>
      <c r="B26" s="4"/>
      <c r="C26" s="4"/>
      <c r="D26" s="4"/>
      <c r="E26" s="4"/>
      <c r="F26" s="14">
        <f t="shared" si="4"/>
        <v>0</v>
      </c>
      <c r="G26" s="75">
        <f t="shared" si="5"/>
        <v>0</v>
      </c>
      <c r="H26" s="14">
        <f t="shared" si="6"/>
        <v>0</v>
      </c>
      <c r="I26" s="18">
        <f t="shared" ref="I26" si="8">IFERROR(F26*B26,0)</f>
        <v>0</v>
      </c>
    </row>
    <row r="27" spans="1:9">
      <c r="A27" s="3"/>
      <c r="B27" s="4"/>
      <c r="C27" s="4"/>
      <c r="D27" s="4"/>
      <c r="E27" s="4"/>
      <c r="F27" s="14">
        <f t="shared" si="4"/>
        <v>0</v>
      </c>
      <c r="G27" s="75">
        <f t="shared" si="5"/>
        <v>0</v>
      </c>
      <c r="H27" s="14">
        <f t="shared" si="6"/>
        <v>0</v>
      </c>
      <c r="I27" s="18">
        <f>IFERROR(F27*#REF!,0)</f>
        <v>0</v>
      </c>
    </row>
    <row r="28" spans="1:9">
      <c r="A28" s="54"/>
      <c r="B28" s="4"/>
      <c r="C28" s="4"/>
      <c r="D28" s="4"/>
      <c r="E28" s="4"/>
      <c r="F28" s="14">
        <f t="shared" si="4"/>
        <v>0</v>
      </c>
      <c r="G28" s="75">
        <f t="shared" si="5"/>
        <v>0</v>
      </c>
      <c r="H28" s="14">
        <f t="shared" si="6"/>
        <v>0</v>
      </c>
      <c r="I28" s="18">
        <f t="shared" ref="I28" si="9">IFERROR(F28*B28,0)</f>
        <v>0</v>
      </c>
    </row>
    <row r="29" spans="1:9">
      <c r="A29" s="3"/>
      <c r="B29" s="4"/>
      <c r="C29" s="4"/>
      <c r="D29" s="4"/>
      <c r="E29" s="4"/>
      <c r="F29" s="14">
        <f t="shared" si="4"/>
        <v>0</v>
      </c>
      <c r="G29" s="75">
        <f t="shared" si="5"/>
        <v>0</v>
      </c>
      <c r="H29" s="14">
        <f t="shared" si="6"/>
        <v>0</v>
      </c>
      <c r="I29" s="18">
        <f>IFERROR(F29*#REF!,0)</f>
        <v>0</v>
      </c>
    </row>
    <row r="30" spans="1:9">
      <c r="A30" s="3"/>
      <c r="B30" s="4"/>
      <c r="C30" s="4"/>
      <c r="D30" s="4"/>
      <c r="E30" s="4"/>
      <c r="F30" s="14">
        <f t="shared" ref="F30" si="10">IFERROR(C30*E30,0)</f>
        <v>0</v>
      </c>
      <c r="G30" s="75">
        <f t="shared" ref="G30" si="11">IFERROR(F30*B30*D30/1000,0)</f>
        <v>0</v>
      </c>
      <c r="H30" s="14">
        <f t="shared" ref="H30" si="12">G30*30</f>
        <v>0</v>
      </c>
      <c r="I30" s="18">
        <f>IFERROR(F30*#REF!,0)</f>
        <v>0</v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M23"/>
  <sheetViews>
    <sheetView showGridLines="0" tabSelected="1" workbookViewId="0">
      <selection activeCell="L18" sqref="L18"/>
    </sheetView>
  </sheetViews>
  <sheetFormatPr defaultRowHeight="15"/>
  <cols>
    <col min="1" max="19" width="18" customWidth="1"/>
  </cols>
  <sheetData>
    <row r="1" spans="1:13" ht="24" customHeight="1">
      <c r="A1" s="77" t="s">
        <v>91</v>
      </c>
      <c r="B1" s="78"/>
      <c r="C1" s="78"/>
      <c r="D1" s="78"/>
      <c r="E1" s="78"/>
      <c r="F1" s="78"/>
      <c r="G1" s="78"/>
      <c r="H1" s="78"/>
      <c r="I1" s="78"/>
      <c r="J1" s="78"/>
    </row>
    <row r="3" spans="1:13">
      <c r="A3" s="13" t="s">
        <v>92</v>
      </c>
      <c r="B3" s="13" t="s">
        <v>93</v>
      </c>
      <c r="C3" s="13" t="s">
        <v>94</v>
      </c>
      <c r="D3" s="13" t="s">
        <v>80</v>
      </c>
      <c r="E3" s="13" t="s">
        <v>81</v>
      </c>
      <c r="F3" s="13" t="s">
        <v>82</v>
      </c>
      <c r="G3" s="13" t="s">
        <v>83</v>
      </c>
      <c r="H3" s="13" t="s">
        <v>84</v>
      </c>
      <c r="I3" s="13" t="s">
        <v>85</v>
      </c>
      <c r="J3" s="13" t="s">
        <v>95</v>
      </c>
      <c r="L3" s="1" t="s">
        <v>96</v>
      </c>
    </row>
    <row r="4" spans="1:13">
      <c r="A4" s="3"/>
      <c r="B4" s="4"/>
      <c r="C4" s="4"/>
      <c r="D4" s="4"/>
      <c r="E4" s="4"/>
      <c r="F4" s="14">
        <f t="shared" ref="F4:F23" si="0">IFERROR(B4*C4,0)</f>
        <v>0</v>
      </c>
      <c r="G4" s="17">
        <f t="shared" ref="G4:G23" si="1">IFERROR(F4*D4*E4/1000,0)</f>
        <v>0</v>
      </c>
      <c r="H4" s="14">
        <f t="shared" ref="H4:H23" si="2">G4*30</f>
        <v>0</v>
      </c>
      <c r="I4" s="18">
        <f t="shared" ref="I4:I23" si="3">IFERROR(F4*D4,0)</f>
        <v>0</v>
      </c>
      <c r="J4" s="3" t="s">
        <v>97</v>
      </c>
      <c r="L4" t="s">
        <v>87</v>
      </c>
      <c r="M4" s="17">
        <f>SUM(G4:G23)</f>
        <v>0</v>
      </c>
    </row>
    <row r="5" spans="1:13">
      <c r="A5" s="3"/>
      <c r="B5" s="4"/>
      <c r="C5" s="4"/>
      <c r="D5" s="4"/>
      <c r="E5" s="4"/>
      <c r="F5" s="14">
        <f t="shared" si="0"/>
        <v>0</v>
      </c>
      <c r="G5" s="17">
        <f t="shared" si="1"/>
        <v>0</v>
      </c>
      <c r="H5" s="14">
        <f t="shared" si="2"/>
        <v>0</v>
      </c>
      <c r="I5" s="18">
        <f t="shared" si="3"/>
        <v>0</v>
      </c>
      <c r="J5" s="3" t="s">
        <v>98</v>
      </c>
      <c r="L5" t="s">
        <v>88</v>
      </c>
      <c r="M5" s="14">
        <f>SUM(H4:H23)</f>
        <v>0</v>
      </c>
    </row>
    <row r="6" spans="1:13">
      <c r="A6" s="3"/>
      <c r="B6" s="4"/>
      <c r="C6" s="4"/>
      <c r="D6" s="4"/>
      <c r="E6" s="4"/>
      <c r="F6" s="14">
        <f t="shared" si="0"/>
        <v>0</v>
      </c>
      <c r="G6" s="17">
        <f t="shared" si="1"/>
        <v>0</v>
      </c>
      <c r="H6" s="14">
        <f t="shared" si="2"/>
        <v>0</v>
      </c>
      <c r="I6" s="18">
        <f t="shared" si="3"/>
        <v>0</v>
      </c>
      <c r="J6" s="3" t="s">
        <v>98</v>
      </c>
      <c r="L6" t="s">
        <v>89</v>
      </c>
      <c r="M6" s="14">
        <f>SUM(I4:I23)/1000</f>
        <v>0</v>
      </c>
    </row>
    <row r="7" spans="1:13">
      <c r="A7" s="3"/>
      <c r="B7" s="4"/>
      <c r="C7" s="4"/>
      <c r="D7" s="4"/>
      <c r="E7" s="4"/>
      <c r="F7" s="14">
        <f t="shared" si="0"/>
        <v>0</v>
      </c>
      <c r="G7" s="17">
        <f t="shared" si="1"/>
        <v>0</v>
      </c>
      <c r="H7" s="14">
        <f t="shared" si="2"/>
        <v>0</v>
      </c>
      <c r="I7" s="18">
        <f t="shared" si="3"/>
        <v>0</v>
      </c>
      <c r="J7" s="3" t="s">
        <v>97</v>
      </c>
      <c r="L7" t="s">
        <v>90</v>
      </c>
      <c r="M7" s="14">
        <f>M6*0.75</f>
        <v>0</v>
      </c>
    </row>
    <row r="8" spans="1:13">
      <c r="A8" s="3"/>
      <c r="B8" s="4"/>
      <c r="C8" s="4"/>
      <c r="D8" s="4"/>
      <c r="E8" s="4"/>
      <c r="F8" s="14">
        <f t="shared" si="0"/>
        <v>0</v>
      </c>
      <c r="G8" s="17">
        <f t="shared" si="1"/>
        <v>0</v>
      </c>
      <c r="H8" s="14">
        <f t="shared" si="2"/>
        <v>0</v>
      </c>
      <c r="I8" s="18">
        <f t="shared" si="3"/>
        <v>0</v>
      </c>
      <c r="J8" s="3"/>
    </row>
    <row r="9" spans="1:13">
      <c r="A9" s="3"/>
      <c r="B9" s="4"/>
      <c r="C9" s="4"/>
      <c r="D9" s="4"/>
      <c r="E9" s="4"/>
      <c r="F9" s="14">
        <f t="shared" si="0"/>
        <v>0</v>
      </c>
      <c r="G9" s="17">
        <f t="shared" si="1"/>
        <v>0</v>
      </c>
      <c r="H9" s="14">
        <f t="shared" si="2"/>
        <v>0</v>
      </c>
      <c r="I9" s="18">
        <f t="shared" si="3"/>
        <v>0</v>
      </c>
      <c r="J9" s="3"/>
    </row>
    <row r="10" spans="1:13">
      <c r="A10" s="3"/>
      <c r="B10" s="4"/>
      <c r="C10" s="4"/>
      <c r="D10" s="4"/>
      <c r="E10" s="4"/>
      <c r="F10" s="14">
        <f t="shared" si="0"/>
        <v>0</v>
      </c>
      <c r="G10" s="17">
        <f t="shared" si="1"/>
        <v>0</v>
      </c>
      <c r="H10" s="14">
        <f t="shared" si="2"/>
        <v>0</v>
      </c>
      <c r="I10" s="18">
        <f t="shared" si="3"/>
        <v>0</v>
      </c>
      <c r="J10" s="3"/>
    </row>
    <row r="11" spans="1:13">
      <c r="A11" s="3"/>
      <c r="B11" s="4"/>
      <c r="C11" s="4"/>
      <c r="D11" s="4"/>
      <c r="E11" s="4"/>
      <c r="F11" s="14">
        <f t="shared" si="0"/>
        <v>0</v>
      </c>
      <c r="G11" s="17">
        <f t="shared" si="1"/>
        <v>0</v>
      </c>
      <c r="H11" s="14">
        <f t="shared" si="2"/>
        <v>0</v>
      </c>
      <c r="I11" s="18">
        <f t="shared" si="3"/>
        <v>0</v>
      </c>
      <c r="J11" s="3"/>
    </row>
    <row r="12" spans="1:13">
      <c r="A12" s="3"/>
      <c r="B12" s="4"/>
      <c r="C12" s="4"/>
      <c r="D12" s="4"/>
      <c r="E12" s="4"/>
      <c r="F12" s="14">
        <f t="shared" si="0"/>
        <v>0</v>
      </c>
      <c r="G12" s="17">
        <f t="shared" si="1"/>
        <v>0</v>
      </c>
      <c r="H12" s="14">
        <f t="shared" si="2"/>
        <v>0</v>
      </c>
      <c r="I12" s="18">
        <f t="shared" si="3"/>
        <v>0</v>
      </c>
      <c r="J12" s="3"/>
    </row>
    <row r="13" spans="1:13">
      <c r="A13" s="3"/>
      <c r="B13" s="4"/>
      <c r="C13" s="4"/>
      <c r="D13" s="4"/>
      <c r="E13" s="4"/>
      <c r="F13" s="14">
        <f t="shared" si="0"/>
        <v>0</v>
      </c>
      <c r="G13" s="17">
        <f t="shared" si="1"/>
        <v>0</v>
      </c>
      <c r="H13" s="14">
        <f t="shared" si="2"/>
        <v>0</v>
      </c>
      <c r="I13" s="18">
        <f t="shared" si="3"/>
        <v>0</v>
      </c>
      <c r="J13" s="3"/>
    </row>
    <row r="14" spans="1:13">
      <c r="A14" s="3"/>
      <c r="B14" s="4"/>
      <c r="C14" s="4"/>
      <c r="D14" s="4"/>
      <c r="E14" s="4"/>
      <c r="F14" s="14">
        <f t="shared" si="0"/>
        <v>0</v>
      </c>
      <c r="G14" s="17">
        <f t="shared" si="1"/>
        <v>0</v>
      </c>
      <c r="H14" s="14">
        <f t="shared" si="2"/>
        <v>0</v>
      </c>
      <c r="I14" s="18">
        <f t="shared" si="3"/>
        <v>0</v>
      </c>
      <c r="J14" s="3"/>
    </row>
    <row r="15" spans="1:13">
      <c r="A15" s="3"/>
      <c r="B15" s="4"/>
      <c r="C15" s="4"/>
      <c r="D15" s="4"/>
      <c r="E15" s="4"/>
      <c r="F15" s="14">
        <f t="shared" si="0"/>
        <v>0</v>
      </c>
      <c r="G15" s="17">
        <f t="shared" si="1"/>
        <v>0</v>
      </c>
      <c r="H15" s="14">
        <f t="shared" si="2"/>
        <v>0</v>
      </c>
      <c r="I15" s="18">
        <f t="shared" si="3"/>
        <v>0</v>
      </c>
      <c r="J15" s="3"/>
    </row>
    <row r="16" spans="1:13">
      <c r="A16" s="3"/>
      <c r="B16" s="4"/>
      <c r="C16" s="4"/>
      <c r="D16" s="4"/>
      <c r="E16" s="4"/>
      <c r="F16" s="14">
        <f t="shared" si="0"/>
        <v>0</v>
      </c>
      <c r="G16" s="17">
        <f t="shared" si="1"/>
        <v>0</v>
      </c>
      <c r="H16" s="14">
        <f t="shared" si="2"/>
        <v>0</v>
      </c>
      <c r="I16" s="18">
        <f t="shared" si="3"/>
        <v>0</v>
      </c>
      <c r="J16" s="3"/>
    </row>
    <row r="17" spans="1:10">
      <c r="A17" s="3"/>
      <c r="B17" s="4"/>
      <c r="C17" s="4"/>
      <c r="D17" s="4"/>
      <c r="E17" s="4"/>
      <c r="F17" s="14">
        <f t="shared" si="0"/>
        <v>0</v>
      </c>
      <c r="G17" s="17">
        <f t="shared" si="1"/>
        <v>0</v>
      </c>
      <c r="H17" s="14">
        <f t="shared" si="2"/>
        <v>0</v>
      </c>
      <c r="I17" s="18">
        <f t="shared" si="3"/>
        <v>0</v>
      </c>
      <c r="J17" s="3"/>
    </row>
    <row r="18" spans="1:10">
      <c r="A18" s="3"/>
      <c r="B18" s="4"/>
      <c r="C18" s="4"/>
      <c r="D18" s="4"/>
      <c r="E18" s="4"/>
      <c r="F18" s="14">
        <f t="shared" si="0"/>
        <v>0</v>
      </c>
      <c r="G18" s="17">
        <f t="shared" si="1"/>
        <v>0</v>
      </c>
      <c r="H18" s="14">
        <f t="shared" si="2"/>
        <v>0</v>
      </c>
      <c r="I18" s="18">
        <f t="shared" si="3"/>
        <v>0</v>
      </c>
      <c r="J18" s="3"/>
    </row>
    <row r="19" spans="1:10">
      <c r="A19" s="3"/>
      <c r="B19" s="4"/>
      <c r="C19" s="4"/>
      <c r="D19" s="4"/>
      <c r="E19" s="4"/>
      <c r="F19" s="14">
        <f t="shared" si="0"/>
        <v>0</v>
      </c>
      <c r="G19" s="17">
        <f t="shared" si="1"/>
        <v>0</v>
      </c>
      <c r="H19" s="14">
        <f t="shared" si="2"/>
        <v>0</v>
      </c>
      <c r="I19" s="18">
        <f t="shared" si="3"/>
        <v>0</v>
      </c>
      <c r="J19" s="3"/>
    </row>
    <row r="20" spans="1:10">
      <c r="A20" s="3"/>
      <c r="B20" s="4"/>
      <c r="C20" s="4"/>
      <c r="D20" s="4"/>
      <c r="E20" s="4"/>
      <c r="F20" s="14">
        <f t="shared" si="0"/>
        <v>0</v>
      </c>
      <c r="G20" s="17">
        <f t="shared" si="1"/>
        <v>0</v>
      </c>
      <c r="H20" s="14">
        <f t="shared" si="2"/>
        <v>0</v>
      </c>
      <c r="I20" s="18">
        <f t="shared" si="3"/>
        <v>0</v>
      </c>
      <c r="J20" s="3"/>
    </row>
    <row r="21" spans="1:10">
      <c r="A21" s="3"/>
      <c r="B21" s="4"/>
      <c r="C21" s="4"/>
      <c r="D21" s="4"/>
      <c r="E21" s="4"/>
      <c r="F21" s="14">
        <f t="shared" si="0"/>
        <v>0</v>
      </c>
      <c r="G21" s="17">
        <f t="shared" si="1"/>
        <v>0</v>
      </c>
      <c r="H21" s="14">
        <f t="shared" si="2"/>
        <v>0</v>
      </c>
      <c r="I21" s="18">
        <f t="shared" si="3"/>
        <v>0</v>
      </c>
      <c r="J21" s="3"/>
    </row>
    <row r="22" spans="1:10">
      <c r="A22" s="3"/>
      <c r="B22" s="4"/>
      <c r="C22" s="4"/>
      <c r="D22" s="4"/>
      <c r="E22" s="4"/>
      <c r="F22" s="14">
        <f t="shared" si="0"/>
        <v>0</v>
      </c>
      <c r="G22" s="17">
        <f t="shared" si="1"/>
        <v>0</v>
      </c>
      <c r="H22" s="14">
        <f t="shared" si="2"/>
        <v>0</v>
      </c>
      <c r="I22" s="18">
        <f t="shared" si="3"/>
        <v>0</v>
      </c>
      <c r="J22" s="3"/>
    </row>
    <row r="23" spans="1:10">
      <c r="A23" s="3"/>
      <c r="B23" s="4"/>
      <c r="C23" s="4"/>
      <c r="D23" s="4"/>
      <c r="E23" s="4"/>
      <c r="F23" s="14">
        <f t="shared" si="0"/>
        <v>0</v>
      </c>
      <c r="G23" s="17">
        <f t="shared" si="1"/>
        <v>0</v>
      </c>
      <c r="H23" s="14">
        <f t="shared" si="2"/>
        <v>0</v>
      </c>
      <c r="I23" s="18">
        <f t="shared" si="3"/>
        <v>0</v>
      </c>
      <c r="J23" s="3"/>
    </row>
  </sheetData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"/>
  <sheetViews>
    <sheetView showGridLines="0" topLeftCell="A2" workbookViewId="0">
      <selection activeCell="I11" sqref="I11"/>
    </sheetView>
  </sheetViews>
  <sheetFormatPr defaultRowHeight="15"/>
  <cols>
    <col min="1" max="5" width="18" customWidth="1"/>
    <col min="6" max="6" width="48" customWidth="1"/>
    <col min="7" max="19" width="18" customWidth="1"/>
  </cols>
  <sheetData>
    <row r="1" spans="1:8" ht="24" customHeight="1">
      <c r="A1" s="77" t="s">
        <v>100</v>
      </c>
      <c r="B1" s="78"/>
      <c r="C1" s="78"/>
      <c r="D1" s="78"/>
      <c r="E1" s="78"/>
      <c r="F1" s="78"/>
      <c r="G1" s="78"/>
      <c r="H1" s="78"/>
    </row>
    <row r="3" spans="1:8">
      <c r="A3" s="13"/>
      <c r="B3" s="13"/>
      <c r="C3" s="13"/>
      <c r="D3" s="13"/>
      <c r="E3" s="13"/>
      <c r="F3" s="13"/>
    </row>
    <row r="4" spans="1:8">
      <c r="A4" s="15"/>
      <c r="B4" s="12"/>
      <c r="C4" s="12"/>
      <c r="D4" s="12"/>
      <c r="E4" s="12"/>
      <c r="F4" s="15"/>
    </row>
    <row r="5" spans="1:8">
      <c r="A5" s="15"/>
      <c r="B5" s="12"/>
      <c r="C5" s="12"/>
      <c r="D5" s="12"/>
      <c r="E5" s="12"/>
      <c r="F5" s="15"/>
    </row>
    <row r="6" spans="1:8">
      <c r="A6" s="15"/>
      <c r="B6" s="12"/>
      <c r="C6" s="12"/>
      <c r="D6" s="12"/>
      <c r="E6" s="12"/>
      <c r="F6" s="15"/>
    </row>
    <row r="7" spans="1:8">
      <c r="A7" s="15"/>
      <c r="B7" s="12"/>
      <c r="C7" s="12"/>
      <c r="D7" s="12"/>
      <c r="E7" s="12"/>
      <c r="F7" s="15"/>
    </row>
    <row r="12" spans="1:8">
      <c r="B12" s="63"/>
    </row>
    <row r="13" spans="1:8">
      <c r="B13" s="63"/>
    </row>
    <row r="16" spans="1:8">
      <c r="B16" s="63"/>
    </row>
    <row r="17" spans="2:2">
      <c r="B17" s="63"/>
    </row>
    <row r="20" spans="2:2">
      <c r="B20" s="63"/>
    </row>
    <row r="21" spans="2:2">
      <c r="B21" s="63"/>
    </row>
    <row r="22" spans="2:2">
      <c r="B22" s="63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"/>
  <sheetViews>
    <sheetView showGridLines="0" workbookViewId="0">
      <selection sqref="A1:J1"/>
    </sheetView>
  </sheetViews>
  <sheetFormatPr defaultRowHeight="15"/>
  <cols>
    <col min="1" max="1" width="20.5703125" customWidth="1"/>
    <col min="2" max="4" width="18" customWidth="1"/>
    <col min="5" max="5" width="25.5703125" customWidth="1"/>
    <col min="6" max="19" width="18" customWidth="1"/>
  </cols>
  <sheetData>
    <row r="1" spans="1:10" ht="24" customHeight="1">
      <c r="A1" s="77"/>
      <c r="B1" s="78"/>
      <c r="C1" s="78"/>
      <c r="D1" s="78"/>
      <c r="E1" s="78"/>
      <c r="F1" s="78"/>
      <c r="G1" s="78"/>
      <c r="H1" s="78"/>
      <c r="I1" s="78"/>
      <c r="J1" s="78"/>
    </row>
    <row r="3" spans="1:10">
      <c r="A3" s="79"/>
      <c r="B3" s="78"/>
      <c r="C3" s="78"/>
      <c r="D3" s="78"/>
      <c r="E3" s="78"/>
      <c r="F3" s="78"/>
    </row>
    <row r="4" spans="1:10">
      <c r="A4" s="13"/>
      <c r="B4" s="13"/>
      <c r="C4" s="13"/>
      <c r="D4" s="13"/>
      <c r="E4" s="13"/>
      <c r="F4" s="13"/>
      <c r="G4" s="13"/>
    </row>
    <row r="5" spans="1:10">
      <c r="A5" s="15"/>
      <c r="B5" s="16"/>
      <c r="C5" s="16"/>
      <c r="D5" s="16"/>
      <c r="E5" s="15"/>
      <c r="F5" s="15"/>
      <c r="G5" s="56"/>
    </row>
    <row r="6" spans="1:10">
      <c r="A6" s="55"/>
      <c r="B6" s="16"/>
      <c r="C6" s="16"/>
      <c r="D6" s="16"/>
      <c r="E6" s="55"/>
      <c r="F6" s="55"/>
      <c r="G6" s="56"/>
    </row>
    <row r="7" spans="1:10">
      <c r="A7" s="55"/>
      <c r="B7" s="16"/>
      <c r="C7" s="16"/>
      <c r="D7" s="16"/>
      <c r="E7" s="55"/>
      <c r="F7" s="55"/>
      <c r="G7" s="56"/>
    </row>
    <row r="8" spans="1:10">
      <c r="A8" s="55"/>
      <c r="B8" s="16"/>
      <c r="C8" s="16"/>
      <c r="D8" s="16"/>
      <c r="E8" s="15"/>
      <c r="F8" s="15"/>
      <c r="G8" s="56"/>
    </row>
    <row r="9" spans="1:10">
      <c r="A9" s="55"/>
      <c r="B9" s="16"/>
      <c r="C9" s="16"/>
      <c r="D9" s="16"/>
      <c r="E9" s="55"/>
      <c r="F9" s="55"/>
      <c r="G9" s="56"/>
    </row>
    <row r="10" spans="1:10">
      <c r="A10" s="55"/>
      <c r="B10" s="16"/>
      <c r="C10" s="16"/>
      <c r="D10" s="16"/>
      <c r="E10" s="55"/>
      <c r="F10" s="55"/>
      <c r="G10" s="56"/>
    </row>
    <row r="11" spans="1:10">
      <c r="A11" s="55"/>
      <c r="B11" s="16"/>
      <c r="C11" s="16"/>
      <c r="D11" s="16"/>
      <c r="E11" s="55"/>
      <c r="F11" s="55"/>
      <c r="G11" s="56"/>
    </row>
    <row r="12" spans="1:10">
      <c r="A12" s="15"/>
      <c r="B12" s="16"/>
      <c r="C12" s="16"/>
      <c r="D12" s="16"/>
      <c r="E12" s="15"/>
      <c r="F12" s="15"/>
      <c r="G12" s="56"/>
    </row>
    <row r="13" spans="1:10">
      <c r="A13" s="15"/>
      <c r="B13" s="16"/>
      <c r="C13" s="16"/>
      <c r="D13" s="16"/>
      <c r="E13" s="15"/>
      <c r="F13" s="15"/>
      <c r="G13" s="56"/>
    </row>
    <row r="14" spans="1:10">
      <c r="A14" s="15"/>
      <c r="B14" s="16"/>
      <c r="C14" s="16"/>
      <c r="D14" s="16"/>
      <c r="E14" s="15"/>
      <c r="F14" s="15"/>
      <c r="G14" s="16"/>
    </row>
    <row r="17" spans="1:4">
      <c r="A17" s="79"/>
      <c r="B17" s="78"/>
      <c r="C17" s="78"/>
      <c r="D17" s="78"/>
    </row>
    <row r="18" spans="1:4">
      <c r="A18" s="1"/>
      <c r="B18" s="16">
        <v>1</v>
      </c>
    </row>
    <row r="19" spans="1:4">
      <c r="A19" s="1"/>
      <c r="B19" s="16">
        <v>1</v>
      </c>
    </row>
    <row r="20" spans="1:4">
      <c r="A20" s="1"/>
      <c r="B20" s="16">
        <v>1</v>
      </c>
    </row>
    <row r="21" spans="1:4">
      <c r="A21" s="1"/>
      <c r="B21" s="16">
        <v>1</v>
      </c>
    </row>
    <row r="22" spans="1:4">
      <c r="A22" s="1"/>
      <c r="B22" s="16">
        <v>1</v>
      </c>
    </row>
    <row r="23" spans="1:4">
      <c r="A23" s="1"/>
      <c r="B23" s="16">
        <v>1</v>
      </c>
    </row>
  </sheetData>
  <mergeCells count="3">
    <mergeCell ref="A3:F3"/>
    <mergeCell ref="A1:J1"/>
    <mergeCell ref="A17:D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showGridLines="0" zoomScaleNormal="100" workbookViewId="0">
      <selection sqref="A1:H1"/>
    </sheetView>
  </sheetViews>
  <sheetFormatPr defaultRowHeight="15"/>
  <cols>
    <col min="1" max="1" width="32" customWidth="1"/>
    <col min="2" max="2" width="22.7109375" customWidth="1"/>
    <col min="3" max="3" width="42" customWidth="1"/>
    <col min="4" max="19" width="18" customWidth="1"/>
  </cols>
  <sheetData>
    <row r="1" spans="1:8" ht="24" customHeight="1">
      <c r="A1" s="77"/>
      <c r="B1" s="78"/>
      <c r="C1" s="78"/>
      <c r="D1" s="78"/>
      <c r="E1" s="78"/>
      <c r="F1" s="78"/>
      <c r="G1" s="78"/>
      <c r="H1" s="78"/>
    </row>
    <row r="3" spans="1:8">
      <c r="A3" s="79"/>
      <c r="B3" s="78"/>
      <c r="C3" s="78"/>
      <c r="D3" s="78"/>
      <c r="E3" s="78"/>
    </row>
    <row r="4" spans="1:8">
      <c r="A4" s="1"/>
      <c r="B4" s="19" t="str">
        <f>User_Inputs!B15</f>
        <v>Appliances</v>
      </c>
    </row>
    <row r="5" spans="1:8">
      <c r="A5" s="1"/>
      <c r="B5" s="14">
        <f>Bill_Input!B11</f>
        <v>2653.9379474940333</v>
      </c>
    </row>
    <row r="6" spans="1:8">
      <c r="A6" s="1"/>
      <c r="B6" s="14">
        <f>Appliance_Input!L5</f>
        <v>241.65</v>
      </c>
    </row>
    <row r="7" spans="1:8">
      <c r="A7" s="1"/>
      <c r="B7" s="14">
        <f>Custom_Equipment!M5</f>
        <v>0</v>
      </c>
    </row>
    <row r="8" spans="1:8">
      <c r="A8" s="1"/>
      <c r="B8" s="14">
        <f>IFERROR(CHOOSE(MATCH(B4,{"Bill","Appliances","Custom"},0),B5,B6,B7),0)</f>
        <v>241.65</v>
      </c>
    </row>
    <row r="9" spans="1:8">
      <c r="A9" s="1"/>
      <c r="B9" s="18">
        <f>B8*12</f>
        <v>2899.8</v>
      </c>
    </row>
    <row r="10" spans="1:8">
      <c r="A10" s="1"/>
      <c r="B10" s="14">
        <f>IF(B4="Bill",IF(User_Inputs!B19&gt;0,User_Inputs!B19,B8/(30*24)*3),IF(B4="Appliances",Appliance_Input!L6,IF(B4="Custom",Custom_Equipment!M7,0)))</f>
        <v>2.8849999999999998</v>
      </c>
    </row>
    <row r="11" spans="1:8">
      <c r="A11" s="1"/>
      <c r="B11" s="14">
        <f>IF(User_Inputs!B19&gt;0,User_Inputs!B19,B10)</f>
        <v>2.8849999999999998</v>
      </c>
    </row>
    <row r="12" spans="1:8">
      <c r="A12" s="1"/>
      <c r="B12" s="14">
        <f>B11*User_Inputs!B24</f>
        <v>1.7309999999999999</v>
      </c>
    </row>
  </sheetData>
  <mergeCells count="2">
    <mergeCell ref="A3:E3"/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"/>
  <sheetViews>
    <sheetView showGridLines="0" workbookViewId="0">
      <selection sqref="A1:H1"/>
    </sheetView>
  </sheetViews>
  <sheetFormatPr defaultRowHeight="15"/>
  <cols>
    <col min="1" max="1" width="32" customWidth="1"/>
    <col min="2" max="2" width="22" customWidth="1"/>
    <col min="3" max="3" width="42" customWidth="1"/>
    <col min="4" max="19" width="18" customWidth="1"/>
  </cols>
  <sheetData>
    <row r="1" spans="1:8" ht="24" customHeight="1">
      <c r="A1" s="77"/>
      <c r="B1" s="78"/>
      <c r="C1" s="78"/>
      <c r="D1" s="78"/>
      <c r="E1" s="78"/>
      <c r="F1" s="78"/>
      <c r="G1" s="78"/>
      <c r="H1" s="78"/>
    </row>
    <row r="4" spans="1:8">
      <c r="A4" s="1"/>
      <c r="B4" s="19" t="str">
        <f>User_Inputs!B14</f>
        <v>Reduce Diesel Use</v>
      </c>
    </row>
    <row r="5" spans="1:8">
      <c r="A5" s="1"/>
      <c r="B5" s="14">
        <f>Load_Estimation!B12</f>
        <v>1.7309999999999999</v>
      </c>
    </row>
    <row r="6" spans="1:8">
      <c r="A6" s="1"/>
      <c r="B6" s="14">
        <f>User_Inputs!B25</f>
        <v>4</v>
      </c>
    </row>
    <row r="7" spans="1:8">
      <c r="A7" s="1"/>
      <c r="B7" s="20">
        <v>1</v>
      </c>
    </row>
    <row r="8" spans="1:8">
      <c r="A8" s="1"/>
      <c r="B8" s="14">
        <f>B5*B6</f>
        <v>6.9239999999999995</v>
      </c>
    </row>
    <row r="9" spans="1:8">
      <c r="A9" s="1"/>
      <c r="B9" s="14">
        <f>B7*MAX(0.5,B8)</f>
        <v>6.9239999999999995</v>
      </c>
    </row>
    <row r="10" spans="1:8">
      <c r="A10" s="1"/>
      <c r="B10" s="14">
        <f>B9</f>
        <v>6.9239999999999995</v>
      </c>
    </row>
    <row r="11" spans="1:8">
      <c r="A11" s="1"/>
      <c r="B11" s="14">
        <f>Load_Estimation!B11*User_Inputs!B44</f>
        <v>2.8849999999999998</v>
      </c>
    </row>
    <row r="12" spans="1:8">
      <c r="A12" s="1"/>
      <c r="B12" s="14">
        <f>B11</f>
        <v>2.8849999999999998</v>
      </c>
    </row>
    <row r="15" spans="1:8">
      <c r="A15" s="1"/>
    </row>
    <row r="16" spans="1:8">
      <c r="A16" s="1"/>
      <c r="B16" s="32"/>
    </row>
    <row r="17" spans="1:3">
      <c r="A17" s="1"/>
    </row>
    <row r="20" spans="1:3">
      <c r="A20" s="1"/>
      <c r="B20" s="14"/>
      <c r="C20" s="39"/>
    </row>
    <row r="21" spans="1:3">
      <c r="A21" s="1"/>
      <c r="B21" s="14"/>
      <c r="C21" s="39"/>
    </row>
  </sheetData>
  <mergeCells count="1">
    <mergeCell ref="A1:H1"/>
  </mergeCells>
  <pageMargins left="0.7" right="0.7" top="0.75" bottom="0.75" header="0.3" footer="0.3"/>
  <ignoredErrors>
    <ignoredError sqref="B11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3"/>
  <sheetViews>
    <sheetView showGridLines="0" workbookViewId="0">
      <selection activeCell="B14" sqref="B14"/>
    </sheetView>
  </sheetViews>
  <sheetFormatPr defaultRowHeight="15"/>
  <cols>
    <col min="1" max="1" width="32.85546875" customWidth="1"/>
    <col min="2" max="2" width="22" customWidth="1"/>
    <col min="3" max="3" width="42" customWidth="1"/>
    <col min="4" max="19" width="18" customWidth="1"/>
  </cols>
  <sheetData>
    <row r="1" spans="1:8" ht="24" customHeight="1">
      <c r="A1" s="77"/>
      <c r="B1" s="78"/>
      <c r="C1" s="78"/>
      <c r="D1" s="78"/>
      <c r="E1" s="78"/>
      <c r="F1" s="78"/>
      <c r="G1" s="78"/>
      <c r="H1" s="78"/>
    </row>
    <row r="4" spans="1:8">
      <c r="A4" s="1"/>
      <c r="B4" s="19" t="str">
        <f>User_Inputs!B14</f>
        <v>Reduce Diesel Use</v>
      </c>
      <c r="C4" t="s">
        <v>107</v>
      </c>
    </row>
    <row r="5" spans="1:8">
      <c r="A5" s="1"/>
      <c r="B5" s="18">
        <f>Load_Estimation!B9</f>
        <v>2899.8</v>
      </c>
      <c r="C5" t="s">
        <v>107</v>
      </c>
    </row>
    <row r="6" spans="1:8">
      <c r="A6" s="1"/>
      <c r="B6" s="20">
        <v>1</v>
      </c>
      <c r="C6" t="s">
        <v>107</v>
      </c>
    </row>
    <row r="7" spans="1:8">
      <c r="A7" s="1"/>
      <c r="B7" s="21">
        <f>MIN(1,User_Inputs!B26*B6)</f>
        <v>0.9</v>
      </c>
      <c r="C7" t="s">
        <v>107</v>
      </c>
    </row>
    <row r="8" spans="1:8">
      <c r="A8" s="1"/>
      <c r="B8" s="18">
        <f>B5</f>
        <v>2899.8</v>
      </c>
      <c r="C8" t="s">
        <v>107</v>
      </c>
    </row>
    <row r="9" spans="1:8">
      <c r="A9" s="1"/>
      <c r="B9" s="14">
        <f>User_Inputs!B21*User_Inputs!B22</f>
        <v>120</v>
      </c>
    </row>
    <row r="10" spans="1:8">
      <c r="A10" s="1"/>
      <c r="B10" s="14">
        <f>IFERROR(B9/User_Inputs!B45,0)</f>
        <v>21.818181818181817</v>
      </c>
    </row>
    <row r="11" spans="1:8">
      <c r="A11" s="1"/>
      <c r="B11" s="14">
        <f>IFERROR(B8/User_Inputs!B42,0)</f>
        <v>1.9998620689655173</v>
      </c>
    </row>
    <row r="12" spans="1:8">
      <c r="A12" s="1"/>
      <c r="B12" s="14">
        <f>B11</f>
        <v>1.9998620689655173</v>
      </c>
      <c r="C12" s="39"/>
      <c r="D12" s="39"/>
      <c r="E12" s="39"/>
      <c r="F12" s="39"/>
    </row>
    <row r="13" spans="1:8">
      <c r="A13" s="1"/>
      <c r="B13" s="18">
        <f>B12*User_Inputs!B42</f>
        <v>2899.8</v>
      </c>
      <c r="C13" t="s">
        <v>107</v>
      </c>
    </row>
    <row r="14" spans="1:8">
      <c r="A14" s="1"/>
      <c r="B14" s="18">
        <f>B13*User_Inputs!B26</f>
        <v>2609.8200000000002</v>
      </c>
    </row>
    <row r="17" spans="1:2">
      <c r="A17" s="1"/>
      <c r="B17" s="32"/>
    </row>
    <row r="18" spans="1:2">
      <c r="A18" s="1"/>
    </row>
    <row r="23" spans="1:2">
      <c r="B23" s="60"/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9"/>
  <sheetViews>
    <sheetView showGridLines="0" workbookViewId="0">
      <selection activeCell="D18" sqref="D18"/>
    </sheetView>
  </sheetViews>
  <sheetFormatPr defaultRowHeight="15"/>
  <cols>
    <col min="1" max="1" width="32" customWidth="1"/>
    <col min="2" max="2" width="22" customWidth="1"/>
    <col min="3" max="3" width="42" customWidth="1"/>
    <col min="4" max="19" width="18" customWidth="1"/>
  </cols>
  <sheetData>
    <row r="1" spans="1:8" ht="24" customHeight="1">
      <c r="A1" s="77" t="s">
        <v>110</v>
      </c>
      <c r="B1" s="78"/>
      <c r="C1" s="78"/>
      <c r="D1" s="78"/>
      <c r="E1" s="78"/>
      <c r="F1" s="78"/>
      <c r="G1" s="78"/>
      <c r="H1" s="78"/>
    </row>
    <row r="4" spans="1:8">
      <c r="A4" s="1"/>
      <c r="B4" s="19" t="str">
        <f>User_Inputs!B13</f>
        <v>Grid + Generator</v>
      </c>
    </row>
    <row r="5" spans="1:8">
      <c r="A5" s="1"/>
      <c r="B5" s="21">
        <f>MIN(1,User_Inputs!B20/24)</f>
        <v>0.25</v>
      </c>
    </row>
    <row r="6" spans="1:8">
      <c r="A6" s="1"/>
      <c r="B6" s="22">
        <f>IFERROR(User_Inputs!B31/User_Inputs!B32,0)</f>
        <v>342.85714285714283</v>
      </c>
    </row>
    <row r="7" spans="1:8">
      <c r="A7" s="1"/>
      <c r="B7" s="22">
        <f>IF(B4="Grid Only",User_Inputs!B30,User_Inputs!B30*(1-B5)+B6*B5)</f>
        <v>242.83928571428572</v>
      </c>
    </row>
    <row r="8" spans="1:8">
      <c r="A8" s="1"/>
      <c r="B8" s="18">
        <f>IF(OR(B4="Grid + Generator",B4="Generator Only"),Solar_Sizing!B14*B5,0)</f>
        <v>652.45500000000004</v>
      </c>
    </row>
    <row r="9" spans="1:8">
      <c r="A9" s="1"/>
      <c r="B9" s="14">
        <f>IFERROR(B8/User_Inputs!B32,0)</f>
        <v>186.4157142857143</v>
      </c>
    </row>
    <row r="11" spans="1:8">
      <c r="A11" s="52"/>
      <c r="B11" s="63"/>
    </row>
    <row r="14" spans="1:8">
      <c r="B14" s="33"/>
    </row>
    <row r="15" spans="1:8">
      <c r="B15" s="33"/>
    </row>
    <row r="16" spans="1:8">
      <c r="B16" s="33"/>
    </row>
    <row r="17" spans="2:2">
      <c r="B17" s="33"/>
    </row>
    <row r="18" spans="2:2">
      <c r="B18" s="33"/>
    </row>
    <row r="19" spans="2:2">
      <c r="B19" s="33"/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"/>
  <sheetViews>
    <sheetView showGridLines="0" workbookViewId="0">
      <selection activeCell="E21" sqref="E21"/>
    </sheetView>
  </sheetViews>
  <sheetFormatPr defaultRowHeight="15"/>
  <cols>
    <col min="1" max="1" width="32" customWidth="1"/>
    <col min="2" max="2" width="22" customWidth="1"/>
    <col min="3" max="3" width="42" customWidth="1"/>
    <col min="4" max="19" width="18" customWidth="1"/>
  </cols>
  <sheetData>
    <row r="1" spans="1:8" ht="24" customHeight="1">
      <c r="A1" s="77"/>
      <c r="B1" s="78"/>
      <c r="C1" s="78"/>
      <c r="D1" s="78"/>
      <c r="E1" s="78"/>
      <c r="F1" s="78"/>
      <c r="G1" s="78"/>
      <c r="H1" s="78"/>
    </row>
    <row r="4" spans="1:8">
      <c r="A4" s="1"/>
      <c r="B4" s="23">
        <f>Solar_Sizing!B12*User_Inputs!B33</f>
        <v>599958.62068965519</v>
      </c>
      <c r="D4" s="24" t="s">
        <v>111</v>
      </c>
    </row>
    <row r="5" spans="1:8">
      <c r="A5" s="1"/>
      <c r="B5" s="23">
        <f>Battery_Sizing!B10*User_Inputs!B34</f>
        <v>1800239.9999999998</v>
      </c>
    </row>
    <row r="6" spans="1:8">
      <c r="A6" s="1"/>
      <c r="B6" s="23">
        <f>Battery_Sizing!B12*User_Inputs!B35</f>
        <v>663550</v>
      </c>
    </row>
    <row r="7" spans="1:8">
      <c r="A7" s="1"/>
      <c r="B7" s="23">
        <f>SUM(B4:B6)</f>
        <v>3063748.6206896547</v>
      </c>
    </row>
    <row r="8" spans="1:8">
      <c r="A8" s="1"/>
      <c r="B8" s="23">
        <f>B7*User_Inputs!B36</f>
        <v>367649.83448275854</v>
      </c>
    </row>
    <row r="9" spans="1:8">
      <c r="A9" s="1"/>
      <c r="B9" s="23">
        <f>B7+B8</f>
        <v>3431398.455172413</v>
      </c>
    </row>
    <row r="10" spans="1:8">
      <c r="A10" s="1"/>
      <c r="B10" s="23">
        <f>Solar_Sizing!B14*Diesel_Economics!B7</f>
        <v>633766.82464285719</v>
      </c>
    </row>
    <row r="11" spans="1:8">
      <c r="A11" s="1"/>
      <c r="B11" s="23">
        <f>B9*User_Inputs!B37</f>
        <v>68627.969103448268</v>
      </c>
    </row>
    <row r="12" spans="1:8">
      <c r="A12" s="1"/>
      <c r="B12" s="23">
        <f>B10-B11</f>
        <v>565138.85553940898</v>
      </c>
    </row>
    <row r="13" spans="1:8">
      <c r="A13" s="1"/>
      <c r="B13" s="25">
        <f>IF(B12&gt;0,B9/B12,"")</f>
        <v>6.0717793893276735</v>
      </c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4"/>
  <sheetViews>
    <sheetView showGridLines="0" workbookViewId="0">
      <selection activeCell="I31" sqref="I31"/>
    </sheetView>
  </sheetViews>
  <sheetFormatPr defaultRowHeight="15"/>
  <cols>
    <col min="1" max="3" width="18" customWidth="1"/>
    <col min="4" max="4" width="60" customWidth="1"/>
    <col min="5" max="19" width="18" customWidth="1"/>
  </cols>
  <sheetData>
    <row r="1" spans="1:10" ht="24" customHeight="1">
      <c r="A1" s="77"/>
      <c r="B1" s="78"/>
      <c r="C1" s="78"/>
      <c r="D1" s="78"/>
      <c r="E1" s="78"/>
      <c r="F1" s="78"/>
      <c r="G1" s="78"/>
      <c r="H1" s="78"/>
      <c r="I1" s="78"/>
      <c r="J1" s="78"/>
    </row>
    <row r="3" spans="1:10">
      <c r="A3" s="13"/>
      <c r="B3" s="13"/>
      <c r="C3" s="13"/>
      <c r="D3" s="13"/>
    </row>
    <row r="4" spans="1:10">
      <c r="A4" s="2"/>
      <c r="B4" s="2"/>
      <c r="C4" s="2"/>
      <c r="D4" s="2"/>
    </row>
    <row r="5" spans="1:10">
      <c r="A5" s="2"/>
      <c r="B5" s="2"/>
      <c r="C5" s="2"/>
      <c r="D5" s="2"/>
    </row>
    <row r="6" spans="1:10">
      <c r="A6" s="2"/>
      <c r="B6" s="2"/>
      <c r="C6" s="2"/>
      <c r="D6" s="2"/>
    </row>
    <row r="7" spans="1:10">
      <c r="A7" s="2"/>
      <c r="B7" s="2"/>
      <c r="C7" s="2"/>
      <c r="D7" s="2"/>
    </row>
    <row r="8" spans="1:10">
      <c r="A8" s="2"/>
      <c r="B8" s="2"/>
      <c r="C8" s="2"/>
      <c r="D8" s="2"/>
    </row>
    <row r="9" spans="1:10">
      <c r="A9" s="2"/>
      <c r="B9" s="2"/>
      <c r="C9" s="2"/>
      <c r="D9" s="2"/>
    </row>
    <row r="10" spans="1:10">
      <c r="A10" s="2"/>
      <c r="B10" s="2"/>
      <c r="C10" s="2"/>
      <c r="D10" s="2"/>
    </row>
    <row r="11" spans="1:10">
      <c r="A11" s="2"/>
      <c r="B11" s="2"/>
      <c r="C11" s="2"/>
      <c r="D11" s="2"/>
    </row>
    <row r="12" spans="1:10">
      <c r="A12" s="2"/>
      <c r="B12" s="2"/>
      <c r="C12" s="2"/>
      <c r="D12" s="2"/>
    </row>
    <row r="13" spans="1:10">
      <c r="A13" s="2"/>
      <c r="B13" s="2"/>
      <c r="C13" s="2"/>
      <c r="D13" s="2"/>
    </row>
    <row r="14" spans="1:10">
      <c r="A14" s="2"/>
      <c r="B14" s="2"/>
      <c r="C14" s="2"/>
      <c r="D14" s="2"/>
    </row>
  </sheetData>
  <mergeCells count="1">
    <mergeCell ref="A1:J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8"/>
  <sheetViews>
    <sheetView showGridLines="0" workbookViewId="0">
      <selection sqref="A1:J1"/>
    </sheetView>
  </sheetViews>
  <sheetFormatPr defaultRowHeight="15"/>
  <cols>
    <col min="1" max="1" width="32" customWidth="1"/>
    <col min="2" max="2" width="22" customWidth="1"/>
    <col min="3" max="3" width="42" customWidth="1"/>
    <col min="4" max="19" width="18" customWidth="1"/>
  </cols>
  <sheetData>
    <row r="1" spans="1:10" ht="24" customHeight="1">
      <c r="A1" s="77"/>
      <c r="B1" s="78"/>
      <c r="C1" s="78"/>
      <c r="D1" s="78"/>
      <c r="E1" s="78"/>
      <c r="F1" s="78"/>
      <c r="G1" s="78"/>
      <c r="H1" s="78"/>
      <c r="I1" s="78"/>
      <c r="J1" s="78"/>
    </row>
    <row r="4" spans="1:10">
      <c r="A4" s="1"/>
      <c r="B4" s="19"/>
    </row>
    <row r="5" spans="1:10">
      <c r="A5" s="1"/>
      <c r="B5" s="26"/>
    </row>
    <row r="6" spans="1:10">
      <c r="A6" s="1"/>
      <c r="B6" s="19"/>
    </row>
    <row r="7" spans="1:10">
      <c r="A7" s="1"/>
      <c r="B7" s="19"/>
    </row>
    <row r="8" spans="1:10">
      <c r="A8" s="1"/>
      <c r="B8" s="19"/>
    </row>
  </sheetData>
  <mergeCells count="1">
    <mergeCell ref="A1:J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/>
  </sheetPr>
  <dimension ref="A1:H46"/>
  <sheetViews>
    <sheetView showGridLines="0" topLeftCell="A7" workbookViewId="0">
      <selection activeCell="E32" sqref="E32"/>
    </sheetView>
  </sheetViews>
  <sheetFormatPr defaultRowHeight="15"/>
  <cols>
    <col min="1" max="1" width="32" customWidth="1"/>
    <col min="2" max="2" width="22" customWidth="1"/>
    <col min="3" max="3" width="42" customWidth="1"/>
    <col min="4" max="19" width="18" customWidth="1"/>
  </cols>
  <sheetData>
    <row r="1" spans="1:8" ht="24" customHeight="1">
      <c r="A1" s="77" t="s">
        <v>6</v>
      </c>
      <c r="B1" s="78"/>
      <c r="C1" s="78"/>
      <c r="D1" s="78"/>
      <c r="E1" s="78"/>
      <c r="F1" s="78"/>
      <c r="G1" s="78"/>
      <c r="H1" s="78"/>
    </row>
    <row r="4" spans="1:8">
      <c r="A4" s="1" t="s">
        <v>9</v>
      </c>
      <c r="B4" s="27" t="str">
        <f>User_Inputs!B4</f>
        <v>SV-0001</v>
      </c>
    </row>
    <row r="5" spans="1:8">
      <c r="A5" s="1" t="s">
        <v>11</v>
      </c>
      <c r="B5" s="27" t="str">
        <f>User_Inputs!B5</f>
        <v>Base Case</v>
      </c>
    </row>
    <row r="6" spans="1:8">
      <c r="A6" s="1" t="s">
        <v>15</v>
      </c>
      <c r="B6" s="27" t="str">
        <f>User_Inputs!B7</f>
        <v>Nigeria</v>
      </c>
    </row>
    <row r="7" spans="1:8">
      <c r="A7" s="1" t="s">
        <v>18</v>
      </c>
      <c r="B7" s="27" t="str">
        <f>User_Inputs!B10</f>
        <v>Home</v>
      </c>
    </row>
    <row r="8" spans="1:8">
      <c r="A8" s="1" t="s">
        <v>20</v>
      </c>
      <c r="B8" s="27" t="str">
        <f>User_Inputs!B13</f>
        <v>Grid + Generator</v>
      </c>
    </row>
    <row r="9" spans="1:8">
      <c r="A9" s="1" t="s">
        <v>21</v>
      </c>
      <c r="B9" s="27" t="str">
        <f>User_Inputs!B14</f>
        <v>Reduce Diesel Use</v>
      </c>
    </row>
    <row r="10" spans="1:8">
      <c r="A10" s="58" t="s">
        <v>892</v>
      </c>
      <c r="B10" s="28">
        <f>Solar_Sizing!B12</f>
        <v>1.9998620689655173</v>
      </c>
      <c r="C10" t="s">
        <v>894</v>
      </c>
    </row>
    <row r="11" spans="1:8">
      <c r="A11" s="58" t="s">
        <v>893</v>
      </c>
      <c r="B11" s="28">
        <f>Battery_Sizing!B10</f>
        <v>6.9239999999999995</v>
      </c>
      <c r="C11" t="s">
        <v>895</v>
      </c>
    </row>
    <row r="12" spans="1:8">
      <c r="A12" s="58" t="s">
        <v>896</v>
      </c>
      <c r="B12" s="28">
        <f>Battery_Sizing!B12</f>
        <v>2.8849999999999998</v>
      </c>
      <c r="C12" t="s">
        <v>897</v>
      </c>
    </row>
    <row r="13" spans="1:8">
      <c r="A13" s="1" t="s">
        <v>108</v>
      </c>
      <c r="B13" s="29">
        <f>Solar_Sizing!B13</f>
        <v>2899.8</v>
      </c>
    </row>
    <row r="14" spans="1:8">
      <c r="A14" s="1" t="s">
        <v>109</v>
      </c>
      <c r="B14" s="29">
        <f>Solar_Sizing!B14</f>
        <v>2609.8200000000002</v>
      </c>
    </row>
    <row r="15" spans="1:8">
      <c r="A15" s="58" t="s">
        <v>898</v>
      </c>
      <c r="B15" s="30">
        <f>Financial_Model!B9</f>
        <v>3431398.455172413</v>
      </c>
      <c r="C15" t="s">
        <v>112</v>
      </c>
    </row>
    <row r="16" spans="1:8">
      <c r="A16" s="58" t="s">
        <v>899</v>
      </c>
      <c r="B16" s="30">
        <f>Financial_Model!B10</f>
        <v>633766.82464285719</v>
      </c>
    </row>
    <row r="17" spans="1:3">
      <c r="A17" s="59" t="s">
        <v>901</v>
      </c>
      <c r="B17" s="30">
        <f>Financial_Model!B11</f>
        <v>68627.969103448268</v>
      </c>
    </row>
    <row r="18" spans="1:3">
      <c r="A18" s="59" t="s">
        <v>902</v>
      </c>
      <c r="B18" s="30">
        <f>Financial_Model!B12</f>
        <v>565138.85553940898</v>
      </c>
    </row>
    <row r="19" spans="1:3">
      <c r="A19" s="58" t="s">
        <v>117</v>
      </c>
      <c r="B19" s="31">
        <f>Financial_Model!B13</f>
        <v>6.0717793893276735</v>
      </c>
      <c r="C19" t="s">
        <v>900</v>
      </c>
    </row>
    <row r="20" spans="1:3">
      <c r="A20" s="59" t="s">
        <v>904</v>
      </c>
      <c r="B20" s="28">
        <f>Diesel_Economics!B9</f>
        <v>186.4157142857143</v>
      </c>
      <c r="C20" t="s">
        <v>903</v>
      </c>
    </row>
    <row r="21" spans="1:3">
      <c r="A21" s="1" t="s">
        <v>113</v>
      </c>
      <c r="B21" s="27">
        <f>Lead_Routing!B6</f>
        <v>0</v>
      </c>
    </row>
    <row r="22" spans="1:3">
      <c r="A22" s="1" t="s">
        <v>114</v>
      </c>
      <c r="B22" s="27">
        <f>Lead_Routing!B7</f>
        <v>0</v>
      </c>
    </row>
    <row r="23" spans="1:3">
      <c r="A23" s="1" t="s">
        <v>101</v>
      </c>
      <c r="B23" s="27" t="str">
        <f>IFERROR(VLOOKUP(User_Inputs!B14, Objective_Logic!A4:F7, 6, FALSE), "Review objective mapping")</f>
        <v>Review objective mapping</v>
      </c>
    </row>
    <row r="24" spans="1:3">
      <c r="A24" s="1" t="s">
        <v>115</v>
      </c>
      <c r="B24" s="27" t="str">
        <f>IF(OR(User_Inputs!B21=0,User_Inputs!B19=0),"Preliminary estimate based on partial inputs","Preliminary estimate with user-supplied site context")</f>
        <v>Preliminary estimate based on partial inputs</v>
      </c>
    </row>
    <row r="25" spans="1:3">
      <c r="A25" s="1" t="s">
        <v>116</v>
      </c>
      <c r="B25" s="27" t="str">
        <f>"Indicative estimate only. Final design, procurement and performance should be validated by detailed review."</f>
        <v>Indicative estimate only. Final design, procurement and performance should be validated by detailed review.</v>
      </c>
    </row>
    <row r="27" spans="1:3">
      <c r="A27" s="59" t="s">
        <v>906</v>
      </c>
      <c r="B27" s="64">
        <f>Solar_Sizing!B14/Load_Estimation!B9</f>
        <v>0.9</v>
      </c>
    </row>
    <row r="28" spans="1:3">
      <c r="A28" s="59" t="s">
        <v>907</v>
      </c>
      <c r="B28" s="64">
        <f>(Solar_Sizing!B14*(1-User_Inputs!B20/24))/Load_Estimation!B9</f>
        <v>0.67500000000000004</v>
      </c>
    </row>
    <row r="29" spans="1:3">
      <c r="A29" s="59" t="s">
        <v>908</v>
      </c>
      <c r="B29" s="64">
        <f>(Solar_Sizing!B14*(User_Inputs!B20/24))/Load_Estimation!B9</f>
        <v>0.22500000000000001</v>
      </c>
    </row>
    <row r="31" spans="1:3">
      <c r="A31" s="59" t="s">
        <v>925</v>
      </c>
      <c r="B31" s="64" t="str">
        <f>IF(B12&lt;3.5,"Class A",IF(B12&lt;5,"Class B",IF(B12&lt;10,"Class C",IF(B12&lt;50,"Class D","Class E"))))</f>
        <v>Class A</v>
      </c>
    </row>
    <row r="33" spans="1:3">
      <c r="A33" s="72" t="s">
        <v>932</v>
      </c>
    </row>
    <row r="34" spans="1:3">
      <c r="A34" s="61" t="s">
        <v>928</v>
      </c>
      <c r="B34" s="70">
        <f>Load_Estimation!B9</f>
        <v>2899.8</v>
      </c>
      <c r="C34" t="s">
        <v>895</v>
      </c>
    </row>
    <row r="35" spans="1:3">
      <c r="A35" s="61" t="s">
        <v>930</v>
      </c>
      <c r="B35" s="71">
        <f>Bill_Input!B11</f>
        <v>2653.9379474940333</v>
      </c>
      <c r="C35" t="s">
        <v>895</v>
      </c>
    </row>
    <row r="36" spans="1:3">
      <c r="A36" s="61" t="s">
        <v>931</v>
      </c>
      <c r="B36" s="30">
        <f>Bill_Input!B13</f>
        <v>50625.675000000003</v>
      </c>
    </row>
    <row r="38" spans="1:3">
      <c r="A38" s="53" t="s">
        <v>933</v>
      </c>
    </row>
    <row r="39" spans="1:3">
      <c r="A39" s="61" t="s">
        <v>934</v>
      </c>
      <c r="B39" s="73">
        <f>Appliance_Input!L4</f>
        <v>8.0549999999999997</v>
      </c>
      <c r="C39" t="s">
        <v>895</v>
      </c>
    </row>
    <row r="40" spans="1:3">
      <c r="A40" s="61" t="s">
        <v>935</v>
      </c>
      <c r="B40" s="74">
        <f>Appliance_Input!L5</f>
        <v>241.65</v>
      </c>
      <c r="C40" t="s">
        <v>895</v>
      </c>
    </row>
    <row r="41" spans="1:3">
      <c r="A41" s="61" t="s">
        <v>936</v>
      </c>
      <c r="B41" s="70">
        <f>Load_Estimation!B9</f>
        <v>2899.8</v>
      </c>
      <c r="C41" t="s">
        <v>895</v>
      </c>
    </row>
    <row r="43" spans="1:3">
      <c r="A43" s="76" t="s">
        <v>937</v>
      </c>
    </row>
    <row r="44" spans="1:3">
      <c r="A44" s="61" t="s">
        <v>934</v>
      </c>
      <c r="B44" s="73">
        <f>Custom_Equipment!M4</f>
        <v>0</v>
      </c>
      <c r="C44" t="s">
        <v>895</v>
      </c>
    </row>
    <row r="45" spans="1:3">
      <c r="A45" s="61" t="s">
        <v>935</v>
      </c>
      <c r="B45" s="74">
        <f>Custom_Equipment!M5</f>
        <v>0</v>
      </c>
      <c r="C45" t="s">
        <v>895</v>
      </c>
    </row>
    <row r="46" spans="1:3">
      <c r="A46" s="61" t="s">
        <v>936</v>
      </c>
      <c r="B46" s="70">
        <f>Load_Estimation!B9</f>
        <v>2899.8</v>
      </c>
      <c r="C46" t="s">
        <v>895</v>
      </c>
    </row>
  </sheetData>
  <mergeCells count="1">
    <mergeCell ref="A1: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59999389629810485"/>
  </sheetPr>
  <dimension ref="A1:J14"/>
  <sheetViews>
    <sheetView showGridLines="0" workbookViewId="0">
      <selection activeCell="G38" sqref="G38"/>
    </sheetView>
  </sheetViews>
  <sheetFormatPr defaultRowHeight="15"/>
  <cols>
    <col min="1" max="1" width="18" customWidth="1"/>
    <col min="2" max="2" width="95" customWidth="1"/>
    <col min="3" max="19" width="18" customWidth="1"/>
  </cols>
  <sheetData>
    <row r="1" spans="1:10" ht="24" customHeight="1">
      <c r="A1" s="77" t="s">
        <v>118</v>
      </c>
      <c r="B1" s="78"/>
      <c r="C1" s="78"/>
      <c r="D1" s="78"/>
      <c r="E1" s="78"/>
      <c r="F1" s="78"/>
      <c r="G1" s="78"/>
      <c r="H1" s="78"/>
      <c r="I1" s="78"/>
      <c r="J1" s="78"/>
    </row>
    <row r="3" spans="1:10">
      <c r="A3" s="1" t="s">
        <v>119</v>
      </c>
    </row>
    <row r="4" spans="1:10">
      <c r="B4" t="s">
        <v>120</v>
      </c>
    </row>
    <row r="5" spans="1:10">
      <c r="B5" t="s">
        <v>121</v>
      </c>
    </row>
    <row r="6" spans="1:10">
      <c r="B6" t="s">
        <v>122</v>
      </c>
    </row>
    <row r="7" spans="1:10">
      <c r="B7" t="s">
        <v>123</v>
      </c>
    </row>
    <row r="9" spans="1:10">
      <c r="A9" s="1" t="s">
        <v>124</v>
      </c>
    </row>
    <row r="10" spans="1:10">
      <c r="B10" t="s">
        <v>125</v>
      </c>
    </row>
    <row r="11" spans="1:10">
      <c r="B11" t="s">
        <v>126</v>
      </c>
    </row>
    <row r="12" spans="1:10">
      <c r="B12" t="s">
        <v>127</v>
      </c>
    </row>
    <row r="14" spans="1:10" ht="30">
      <c r="A14" s="1" t="s">
        <v>128</v>
      </c>
      <c r="B14" s="2" t="s">
        <v>129</v>
      </c>
    </row>
  </sheetData>
  <mergeCells count="1">
    <mergeCell ref="A1:J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6908-E607-4546-B489-687D2467F8C0}">
  <sheetPr>
    <tabColor theme="6"/>
  </sheetPr>
  <dimension ref="A4:D22"/>
  <sheetViews>
    <sheetView workbookViewId="0">
      <selection activeCell="C20" sqref="C20"/>
    </sheetView>
  </sheetViews>
  <sheetFormatPr defaultRowHeight="15"/>
  <cols>
    <col min="1" max="1" width="29.28515625" customWidth="1"/>
    <col min="2" max="2" width="41.7109375" customWidth="1"/>
    <col min="3" max="3" width="50.28515625" customWidth="1"/>
    <col min="4" max="4" width="44.5703125" customWidth="1"/>
  </cols>
  <sheetData>
    <row r="4" spans="1:4">
      <c r="A4" s="45" t="s">
        <v>54</v>
      </c>
      <c r="B4" s="45" t="s">
        <v>55</v>
      </c>
      <c r="C4" s="45" t="s">
        <v>611</v>
      </c>
      <c r="D4" s="45" t="s">
        <v>612</v>
      </c>
    </row>
    <row r="5" spans="1:4">
      <c r="A5" t="s">
        <v>613</v>
      </c>
      <c r="B5" t="s">
        <v>10</v>
      </c>
      <c r="C5" t="s">
        <v>614</v>
      </c>
      <c r="D5" t="s">
        <v>615</v>
      </c>
    </row>
    <row r="6" spans="1:4">
      <c r="A6" t="s">
        <v>616</v>
      </c>
      <c r="B6" s="51" t="s">
        <v>811</v>
      </c>
      <c r="C6" t="s">
        <v>617</v>
      </c>
      <c r="D6" t="s">
        <v>618</v>
      </c>
    </row>
    <row r="7" spans="1:4">
      <c r="A7" t="s">
        <v>619</v>
      </c>
      <c r="B7" s="50" t="s">
        <v>812</v>
      </c>
      <c r="C7" t="s">
        <v>620</v>
      </c>
      <c r="D7" t="s">
        <v>618</v>
      </c>
    </row>
    <row r="8" spans="1:4">
      <c r="A8" t="s">
        <v>70</v>
      </c>
      <c r="B8" s="51" t="str">
        <f>User_Inputs!B10</f>
        <v>Home</v>
      </c>
      <c r="C8" t="s">
        <v>621</v>
      </c>
      <c r="D8" t="s">
        <v>622</v>
      </c>
    </row>
    <row r="9" spans="1:4">
      <c r="A9" t="s">
        <v>623</v>
      </c>
      <c r="B9" s="51" t="s">
        <v>624</v>
      </c>
      <c r="C9" t="s">
        <v>625</v>
      </c>
      <c r="D9" t="s">
        <v>626</v>
      </c>
    </row>
    <row r="10" spans="1:4">
      <c r="A10" t="s">
        <v>627</v>
      </c>
      <c r="B10" t="str">
        <f>User_Inputs!B8</f>
        <v>Lagos</v>
      </c>
      <c r="C10" t="s">
        <v>628</v>
      </c>
      <c r="D10" t="s">
        <v>629</v>
      </c>
    </row>
    <row r="11" spans="1:4">
      <c r="A11" t="s">
        <v>630</v>
      </c>
      <c r="C11" t="s">
        <v>631</v>
      </c>
      <c r="D11" t="s">
        <v>629</v>
      </c>
    </row>
    <row r="12" spans="1:4">
      <c r="A12" t="s">
        <v>632</v>
      </c>
      <c r="B12" t="s">
        <v>455</v>
      </c>
      <c r="C12" t="s">
        <v>633</v>
      </c>
      <c r="D12" t="s">
        <v>634</v>
      </c>
    </row>
    <row r="13" spans="1:4">
      <c r="A13" t="s">
        <v>635</v>
      </c>
      <c r="B13" t="s">
        <v>636</v>
      </c>
      <c r="C13" t="s">
        <v>637</v>
      </c>
      <c r="D13" t="s">
        <v>638</v>
      </c>
    </row>
    <row r="14" spans="1:4">
      <c r="A14" t="s">
        <v>639</v>
      </c>
      <c r="B14" t="s">
        <v>640</v>
      </c>
      <c r="C14" t="s">
        <v>641</v>
      </c>
      <c r="D14" t="s">
        <v>642</v>
      </c>
    </row>
    <row r="15" spans="1:4">
      <c r="A15" t="s">
        <v>643</v>
      </c>
      <c r="B15">
        <f>Lead_Routing!B4</f>
        <v>0</v>
      </c>
      <c r="C15" t="s">
        <v>644</v>
      </c>
      <c r="D15" t="s">
        <v>645</v>
      </c>
    </row>
    <row r="16" spans="1:4">
      <c r="A16" t="s">
        <v>646</v>
      </c>
      <c r="B16" s="49">
        <f>Load_Estimation!B8/30</f>
        <v>8.0549999999999997</v>
      </c>
      <c r="C16" t="s">
        <v>647</v>
      </c>
      <c r="D16" t="s">
        <v>648</v>
      </c>
    </row>
    <row r="17" spans="1:4">
      <c r="A17" t="s">
        <v>808</v>
      </c>
      <c r="B17">
        <f>Outputs!B10</f>
        <v>1.9998620689655173</v>
      </c>
      <c r="C17" t="s">
        <v>647</v>
      </c>
      <c r="D17" t="s">
        <v>649</v>
      </c>
    </row>
    <row r="18" spans="1:4">
      <c r="A18" t="s">
        <v>809</v>
      </c>
      <c r="B18">
        <f>Outputs!B11</f>
        <v>6.9239999999999995</v>
      </c>
      <c r="C18" t="s">
        <v>647</v>
      </c>
      <c r="D18" t="s">
        <v>649</v>
      </c>
    </row>
    <row r="19" spans="1:4">
      <c r="A19" t="s">
        <v>810</v>
      </c>
      <c r="B19" s="47">
        <f>Outputs!B12</f>
        <v>2.8849999999999998</v>
      </c>
      <c r="C19" t="s">
        <v>647</v>
      </c>
      <c r="D19" t="s">
        <v>648</v>
      </c>
    </row>
    <row r="20" spans="1:4">
      <c r="A20" t="s">
        <v>651</v>
      </c>
      <c r="B20" t="s">
        <v>98</v>
      </c>
      <c r="C20" t="s">
        <v>652</v>
      </c>
      <c r="D20" t="s">
        <v>653</v>
      </c>
    </row>
    <row r="21" spans="1:4">
      <c r="A21" t="s">
        <v>654</v>
      </c>
      <c r="B21" t="s">
        <v>98</v>
      </c>
      <c r="C21" t="s">
        <v>652</v>
      </c>
      <c r="D21" t="s">
        <v>655</v>
      </c>
    </row>
    <row r="22" spans="1:4">
      <c r="A22" t="s">
        <v>656</v>
      </c>
      <c r="B22" t="s">
        <v>657</v>
      </c>
      <c r="C22" t="s">
        <v>658</v>
      </c>
      <c r="D22" t="s">
        <v>659</v>
      </c>
    </row>
  </sheetData>
  <hyperlinks>
    <hyperlink ref="B7" r:id="rId1" xr:uid="{7A54479D-3BB4-4FA7-8789-CAF5C3472CF8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3B43-E5C0-47B5-BB6C-D38233C24BEC}">
  <sheetPr>
    <tabColor rgb="FF0070C0"/>
  </sheetPr>
  <dimension ref="A4:Z104"/>
  <sheetViews>
    <sheetView workbookViewId="0">
      <selection activeCell="G37" sqref="G37"/>
    </sheetView>
  </sheetViews>
  <sheetFormatPr defaultRowHeight="15"/>
  <cols>
    <col min="1" max="1" width="14.5703125" customWidth="1"/>
    <col min="2" max="2" width="30.5703125" customWidth="1"/>
    <col min="3" max="3" width="19.5703125" customWidth="1"/>
    <col min="4" max="4" width="19.140625" customWidth="1"/>
    <col min="5" max="5" width="31.28515625" customWidth="1"/>
    <col min="6" max="6" width="25.7109375" customWidth="1"/>
    <col min="7" max="7" width="42.7109375" customWidth="1"/>
    <col min="8" max="8" width="35.140625" customWidth="1"/>
    <col min="9" max="9" width="10.85546875" customWidth="1"/>
    <col min="10" max="10" width="10.7109375" customWidth="1"/>
    <col min="11" max="12" width="20.42578125" customWidth="1"/>
    <col min="13" max="13" width="19.85546875" customWidth="1"/>
    <col min="14" max="14" width="16.5703125" customWidth="1"/>
    <col min="15" max="15" width="22.85546875" customWidth="1"/>
    <col min="18" max="18" width="37.7109375" customWidth="1"/>
    <col min="19" max="19" width="19" customWidth="1"/>
    <col min="20" max="20" width="18.5703125" customWidth="1"/>
    <col min="21" max="21" width="18.140625" customWidth="1"/>
    <col min="22" max="22" width="16.5703125" customWidth="1"/>
    <col min="23" max="23" width="17.85546875" customWidth="1"/>
    <col min="24" max="24" width="16.7109375" customWidth="1"/>
    <col min="25" max="25" width="17.7109375" customWidth="1"/>
    <col min="26" max="26" width="41" customWidth="1"/>
  </cols>
  <sheetData>
    <row r="4" spans="1:26" ht="27.6" customHeight="1">
      <c r="A4" s="45" t="s">
        <v>420</v>
      </c>
      <c r="B4" s="45" t="s">
        <v>421</v>
      </c>
      <c r="C4" s="45" t="s">
        <v>422</v>
      </c>
      <c r="D4" s="45" t="s">
        <v>423</v>
      </c>
      <c r="E4" s="45" t="s">
        <v>424</v>
      </c>
      <c r="F4" s="45" t="s">
        <v>425</v>
      </c>
      <c r="G4" s="45" t="s">
        <v>426</v>
      </c>
      <c r="H4" s="45" t="s">
        <v>427</v>
      </c>
      <c r="I4" s="45" t="s">
        <v>428</v>
      </c>
      <c r="J4" s="45" t="s">
        <v>429</v>
      </c>
      <c r="K4" s="45" t="s">
        <v>430</v>
      </c>
      <c r="L4" s="45" t="s">
        <v>431</v>
      </c>
      <c r="M4" s="45" t="s">
        <v>432</v>
      </c>
      <c r="N4" s="45" t="s">
        <v>433</v>
      </c>
      <c r="O4" s="45" t="s">
        <v>434</v>
      </c>
      <c r="P4" s="45" t="s">
        <v>435</v>
      </c>
      <c r="Q4" s="45" t="s">
        <v>436</v>
      </c>
      <c r="R4" s="45" t="s">
        <v>437</v>
      </c>
      <c r="S4" s="45" t="s">
        <v>438</v>
      </c>
      <c r="T4" s="45" t="s">
        <v>439</v>
      </c>
      <c r="U4" s="45" t="s">
        <v>440</v>
      </c>
      <c r="V4" s="45" t="s">
        <v>441</v>
      </c>
      <c r="W4" s="45" t="s">
        <v>442</v>
      </c>
      <c r="X4" s="45" t="s">
        <v>443</v>
      </c>
      <c r="Y4" s="45" t="s">
        <v>444</v>
      </c>
      <c r="Z4" s="45" t="s">
        <v>50</v>
      </c>
    </row>
    <row r="5" spans="1:26">
      <c r="A5" t="s">
        <v>445</v>
      </c>
      <c r="B5" t="s">
        <v>446</v>
      </c>
      <c r="C5" t="s">
        <v>447</v>
      </c>
      <c r="D5" t="s">
        <v>448</v>
      </c>
      <c r="E5" t="s">
        <v>449</v>
      </c>
      <c r="F5" t="s">
        <v>17</v>
      </c>
      <c r="G5" t="s">
        <v>450</v>
      </c>
      <c r="H5" t="s">
        <v>451</v>
      </c>
      <c r="I5">
        <v>3</v>
      </c>
      <c r="J5">
        <v>20</v>
      </c>
      <c r="K5" t="s">
        <v>452</v>
      </c>
      <c r="L5" t="s">
        <v>98</v>
      </c>
      <c r="M5" t="s">
        <v>98</v>
      </c>
      <c r="N5" t="s">
        <v>97</v>
      </c>
      <c r="O5" t="s">
        <v>97</v>
      </c>
      <c r="P5">
        <v>6</v>
      </c>
      <c r="Q5">
        <v>85</v>
      </c>
      <c r="R5" t="s">
        <v>453</v>
      </c>
      <c r="S5" t="s">
        <v>452</v>
      </c>
      <c r="T5" t="s">
        <v>454</v>
      </c>
      <c r="U5" t="s">
        <v>455</v>
      </c>
      <c r="V5" t="s">
        <v>456</v>
      </c>
      <c r="W5" t="s">
        <v>457</v>
      </c>
      <c r="X5" t="s">
        <v>456</v>
      </c>
      <c r="Y5" t="s">
        <v>458</v>
      </c>
      <c r="Z5" t="s">
        <v>459</v>
      </c>
    </row>
    <row r="6" spans="1:26">
      <c r="A6" t="s">
        <v>460</v>
      </c>
      <c r="B6" t="s">
        <v>461</v>
      </c>
      <c r="C6" t="s">
        <v>462</v>
      </c>
      <c r="D6" t="s">
        <v>463</v>
      </c>
      <c r="E6" t="s">
        <v>464</v>
      </c>
      <c r="F6" t="s">
        <v>465</v>
      </c>
      <c r="G6" t="s">
        <v>466</v>
      </c>
      <c r="H6" t="s">
        <v>467</v>
      </c>
      <c r="I6">
        <v>3</v>
      </c>
      <c r="J6">
        <v>30</v>
      </c>
      <c r="K6" t="s">
        <v>452</v>
      </c>
      <c r="L6" t="s">
        <v>98</v>
      </c>
      <c r="M6" t="s">
        <v>98</v>
      </c>
      <c r="N6" t="s">
        <v>97</v>
      </c>
      <c r="O6" t="s">
        <v>98</v>
      </c>
      <c r="P6">
        <v>8</v>
      </c>
      <c r="Q6">
        <v>120</v>
      </c>
      <c r="R6" t="s">
        <v>468</v>
      </c>
      <c r="S6" t="s">
        <v>452</v>
      </c>
      <c r="T6" t="s">
        <v>469</v>
      </c>
      <c r="U6" t="s">
        <v>184</v>
      </c>
      <c r="V6" t="s">
        <v>457</v>
      </c>
      <c r="W6" t="s">
        <v>456</v>
      </c>
      <c r="X6" t="s">
        <v>456</v>
      </c>
      <c r="Y6" t="s">
        <v>470</v>
      </c>
      <c r="Z6" t="s">
        <v>471</v>
      </c>
    </row>
    <row r="7" spans="1:26">
      <c r="A7" t="s">
        <v>472</v>
      </c>
      <c r="B7" t="s">
        <v>473</v>
      </c>
      <c r="C7" t="s">
        <v>474</v>
      </c>
      <c r="D7" t="s">
        <v>475</v>
      </c>
      <c r="E7" t="s">
        <v>476</v>
      </c>
      <c r="F7" t="s">
        <v>477</v>
      </c>
      <c r="G7" t="s">
        <v>478</v>
      </c>
      <c r="H7" t="s">
        <v>479</v>
      </c>
      <c r="I7">
        <v>10</v>
      </c>
      <c r="J7">
        <v>100</v>
      </c>
      <c r="K7" t="s">
        <v>480</v>
      </c>
      <c r="L7" t="s">
        <v>98</v>
      </c>
      <c r="M7" t="s">
        <v>98</v>
      </c>
      <c r="N7" t="s">
        <v>98</v>
      </c>
      <c r="O7" t="s">
        <v>97</v>
      </c>
      <c r="P7">
        <v>10</v>
      </c>
      <c r="Q7">
        <v>70</v>
      </c>
      <c r="R7" t="s">
        <v>481</v>
      </c>
      <c r="S7" t="s">
        <v>456</v>
      </c>
      <c r="T7" t="s">
        <v>482</v>
      </c>
      <c r="U7" t="s">
        <v>455</v>
      </c>
      <c r="V7" t="s">
        <v>456</v>
      </c>
      <c r="W7" t="s">
        <v>456</v>
      </c>
      <c r="X7" t="s">
        <v>483</v>
      </c>
      <c r="Y7" t="s">
        <v>470</v>
      </c>
      <c r="Z7" t="s">
        <v>484</v>
      </c>
    </row>
    <row r="8" spans="1:26">
      <c r="A8" t="s">
        <v>485</v>
      </c>
      <c r="B8" t="s">
        <v>486</v>
      </c>
      <c r="C8" t="s">
        <v>487</v>
      </c>
      <c r="D8" t="s">
        <v>488</v>
      </c>
      <c r="E8" t="s">
        <v>489</v>
      </c>
      <c r="F8" t="s">
        <v>490</v>
      </c>
      <c r="G8" t="s">
        <v>491</v>
      </c>
      <c r="H8" t="s">
        <v>492</v>
      </c>
      <c r="I8">
        <v>5</v>
      </c>
      <c r="J8">
        <v>50</v>
      </c>
      <c r="K8" t="s">
        <v>452</v>
      </c>
      <c r="L8" t="s">
        <v>98</v>
      </c>
      <c r="M8" t="s">
        <v>98</v>
      </c>
      <c r="N8" t="s">
        <v>97</v>
      </c>
      <c r="O8" t="s">
        <v>98</v>
      </c>
      <c r="P8">
        <v>7</v>
      </c>
      <c r="Q8">
        <v>60</v>
      </c>
      <c r="R8" t="s">
        <v>493</v>
      </c>
      <c r="S8" t="s">
        <v>456</v>
      </c>
      <c r="T8" t="s">
        <v>469</v>
      </c>
      <c r="U8" t="s">
        <v>455</v>
      </c>
      <c r="V8" t="s">
        <v>456</v>
      </c>
      <c r="W8" t="s">
        <v>456</v>
      </c>
      <c r="X8" t="s">
        <v>456</v>
      </c>
      <c r="Y8" t="s">
        <v>470</v>
      </c>
      <c r="Z8" t="s">
        <v>494</v>
      </c>
    </row>
    <row r="9" spans="1:26">
      <c r="A9" t="s">
        <v>495</v>
      </c>
      <c r="B9" t="s">
        <v>496</v>
      </c>
      <c r="C9" t="s">
        <v>497</v>
      </c>
      <c r="D9" t="s">
        <v>498</v>
      </c>
      <c r="E9" t="s">
        <v>499</v>
      </c>
      <c r="F9" t="s">
        <v>17</v>
      </c>
      <c r="G9" t="s">
        <v>500</v>
      </c>
      <c r="H9" t="s">
        <v>501</v>
      </c>
      <c r="I9">
        <v>1</v>
      </c>
      <c r="J9">
        <v>8</v>
      </c>
      <c r="K9" t="s">
        <v>230</v>
      </c>
      <c r="L9" t="s">
        <v>97</v>
      </c>
      <c r="M9" t="s">
        <v>502</v>
      </c>
      <c r="N9" t="s">
        <v>97</v>
      </c>
      <c r="O9" t="s">
        <v>97</v>
      </c>
      <c r="P9">
        <v>3</v>
      </c>
      <c r="Q9">
        <v>45</v>
      </c>
      <c r="R9" t="s">
        <v>503</v>
      </c>
      <c r="S9" t="s">
        <v>230</v>
      </c>
      <c r="T9" t="s">
        <v>454</v>
      </c>
      <c r="U9" t="s">
        <v>504</v>
      </c>
      <c r="V9" t="s">
        <v>483</v>
      </c>
      <c r="W9" t="s">
        <v>505</v>
      </c>
      <c r="X9" t="s">
        <v>483</v>
      </c>
      <c r="Y9" t="s">
        <v>470</v>
      </c>
      <c r="Z9" t="s">
        <v>506</v>
      </c>
    </row>
    <row r="10" spans="1:26">
      <c r="A10" t="s">
        <v>507</v>
      </c>
      <c r="B10" t="s">
        <v>508</v>
      </c>
      <c r="C10" t="s">
        <v>509</v>
      </c>
      <c r="D10" t="s">
        <v>510</v>
      </c>
      <c r="E10" t="s">
        <v>511</v>
      </c>
      <c r="F10" t="s">
        <v>512</v>
      </c>
      <c r="G10" t="s">
        <v>513</v>
      </c>
      <c r="H10" t="s">
        <v>514</v>
      </c>
      <c r="I10">
        <v>10</v>
      </c>
      <c r="J10">
        <v>150</v>
      </c>
      <c r="K10" t="s">
        <v>452</v>
      </c>
      <c r="L10" t="s">
        <v>98</v>
      </c>
      <c r="M10" t="s">
        <v>98</v>
      </c>
      <c r="N10" t="s">
        <v>98</v>
      </c>
      <c r="O10" t="s">
        <v>98</v>
      </c>
      <c r="P10">
        <v>12</v>
      </c>
      <c r="Q10">
        <v>150</v>
      </c>
      <c r="R10" t="s">
        <v>515</v>
      </c>
      <c r="S10" t="s">
        <v>452</v>
      </c>
      <c r="T10" t="s">
        <v>469</v>
      </c>
      <c r="U10" t="s">
        <v>184</v>
      </c>
      <c r="V10" t="s">
        <v>457</v>
      </c>
      <c r="W10" t="s">
        <v>457</v>
      </c>
      <c r="X10" t="s">
        <v>456</v>
      </c>
      <c r="Y10" t="s">
        <v>458</v>
      </c>
      <c r="Z10" t="s">
        <v>516</v>
      </c>
    </row>
    <row r="11" spans="1:26">
      <c r="A11" t="s">
        <v>517</v>
      </c>
    </row>
    <row r="12" spans="1:26">
      <c r="A12" t="s">
        <v>518</v>
      </c>
    </row>
    <row r="13" spans="1:26">
      <c r="A13" t="s">
        <v>519</v>
      </c>
    </row>
    <row r="14" spans="1:26">
      <c r="A14" t="s">
        <v>520</v>
      </c>
    </row>
    <row r="15" spans="1:26">
      <c r="A15" t="s">
        <v>521</v>
      </c>
    </row>
    <row r="16" spans="1:26">
      <c r="A16" t="s">
        <v>522</v>
      </c>
    </row>
    <row r="17" spans="1:7">
      <c r="A17" t="s">
        <v>523</v>
      </c>
    </row>
    <row r="18" spans="1:7">
      <c r="A18" t="s">
        <v>524</v>
      </c>
    </row>
    <row r="19" spans="1:7">
      <c r="A19" t="s">
        <v>525</v>
      </c>
    </row>
    <row r="20" spans="1:7">
      <c r="A20" t="s">
        <v>526</v>
      </c>
    </row>
    <row r="21" spans="1:7">
      <c r="A21" t="s">
        <v>527</v>
      </c>
    </row>
    <row r="22" spans="1:7">
      <c r="A22" t="s">
        <v>528</v>
      </c>
      <c r="G22" s="46"/>
    </row>
    <row r="23" spans="1:7">
      <c r="A23" t="s">
        <v>529</v>
      </c>
    </row>
    <row r="24" spans="1:7">
      <c r="A24" t="s">
        <v>530</v>
      </c>
    </row>
    <row r="25" spans="1:7">
      <c r="A25" t="s">
        <v>531</v>
      </c>
    </row>
    <row r="26" spans="1:7">
      <c r="A26" t="s">
        <v>532</v>
      </c>
    </row>
    <row r="27" spans="1:7">
      <c r="A27" t="s">
        <v>533</v>
      </c>
    </row>
    <row r="28" spans="1:7">
      <c r="A28" t="s">
        <v>534</v>
      </c>
    </row>
    <row r="29" spans="1:7">
      <c r="A29" t="s">
        <v>535</v>
      </c>
    </row>
    <row r="30" spans="1:7">
      <c r="A30" t="s">
        <v>536</v>
      </c>
    </row>
    <row r="31" spans="1:7">
      <c r="A31" t="s">
        <v>537</v>
      </c>
    </row>
    <row r="32" spans="1:7">
      <c r="A32" t="s">
        <v>538</v>
      </c>
    </row>
    <row r="33" spans="1:1">
      <c r="A33" t="s">
        <v>539</v>
      </c>
    </row>
    <row r="34" spans="1:1">
      <c r="A34" t="s">
        <v>540</v>
      </c>
    </row>
    <row r="35" spans="1:1">
      <c r="A35" t="s">
        <v>541</v>
      </c>
    </row>
    <row r="36" spans="1:1">
      <c r="A36" t="s">
        <v>542</v>
      </c>
    </row>
    <row r="37" spans="1:1">
      <c r="A37" t="s">
        <v>543</v>
      </c>
    </row>
    <row r="38" spans="1:1">
      <c r="A38" t="s">
        <v>544</v>
      </c>
    </row>
    <row r="39" spans="1:1">
      <c r="A39" t="s">
        <v>545</v>
      </c>
    </row>
    <row r="40" spans="1:1">
      <c r="A40" t="s">
        <v>546</v>
      </c>
    </row>
    <row r="41" spans="1:1">
      <c r="A41" t="s">
        <v>547</v>
      </c>
    </row>
    <row r="42" spans="1:1">
      <c r="A42" t="s">
        <v>548</v>
      </c>
    </row>
    <row r="43" spans="1:1">
      <c r="A43" t="s">
        <v>549</v>
      </c>
    </row>
    <row r="44" spans="1:1">
      <c r="A44" t="s">
        <v>550</v>
      </c>
    </row>
    <row r="45" spans="1:1">
      <c r="A45" t="s">
        <v>551</v>
      </c>
    </row>
    <row r="46" spans="1:1">
      <c r="A46" t="s">
        <v>552</v>
      </c>
    </row>
    <row r="47" spans="1:1">
      <c r="A47" t="s">
        <v>553</v>
      </c>
    </row>
    <row r="48" spans="1:1">
      <c r="A48" t="s">
        <v>554</v>
      </c>
    </row>
    <row r="49" spans="1:1">
      <c r="A49" t="s">
        <v>555</v>
      </c>
    </row>
    <row r="50" spans="1:1">
      <c r="A50" t="s">
        <v>556</v>
      </c>
    </row>
    <row r="51" spans="1:1">
      <c r="A51" t="s">
        <v>557</v>
      </c>
    </row>
    <row r="52" spans="1:1">
      <c r="A52" t="s">
        <v>558</v>
      </c>
    </row>
    <row r="53" spans="1:1">
      <c r="A53" t="s">
        <v>559</v>
      </c>
    </row>
    <row r="54" spans="1:1">
      <c r="A54" t="s">
        <v>560</v>
      </c>
    </row>
    <row r="55" spans="1:1">
      <c r="A55" t="s">
        <v>561</v>
      </c>
    </row>
    <row r="56" spans="1:1">
      <c r="A56" t="s">
        <v>562</v>
      </c>
    </row>
    <row r="57" spans="1:1">
      <c r="A57" t="s">
        <v>563</v>
      </c>
    </row>
    <row r="58" spans="1:1">
      <c r="A58" t="s">
        <v>564</v>
      </c>
    </row>
    <row r="59" spans="1:1">
      <c r="A59" t="s">
        <v>565</v>
      </c>
    </row>
    <row r="60" spans="1:1">
      <c r="A60" t="s">
        <v>566</v>
      </c>
    </row>
    <row r="61" spans="1:1">
      <c r="A61" t="s">
        <v>567</v>
      </c>
    </row>
    <row r="62" spans="1:1">
      <c r="A62" t="s">
        <v>568</v>
      </c>
    </row>
    <row r="63" spans="1:1">
      <c r="A63" t="s">
        <v>569</v>
      </c>
    </row>
    <row r="64" spans="1:1">
      <c r="A64" t="s">
        <v>570</v>
      </c>
    </row>
    <row r="65" spans="1:1">
      <c r="A65" t="s">
        <v>571</v>
      </c>
    </row>
    <row r="66" spans="1:1">
      <c r="A66" t="s">
        <v>572</v>
      </c>
    </row>
    <row r="67" spans="1:1">
      <c r="A67" t="s">
        <v>573</v>
      </c>
    </row>
    <row r="68" spans="1:1">
      <c r="A68" t="s">
        <v>574</v>
      </c>
    </row>
    <row r="69" spans="1:1">
      <c r="A69" t="s">
        <v>575</v>
      </c>
    </row>
    <row r="70" spans="1:1">
      <c r="A70" t="s">
        <v>576</v>
      </c>
    </row>
    <row r="71" spans="1:1">
      <c r="A71" t="s">
        <v>577</v>
      </c>
    </row>
    <row r="72" spans="1:1">
      <c r="A72" t="s">
        <v>578</v>
      </c>
    </row>
    <row r="73" spans="1:1">
      <c r="A73" t="s">
        <v>579</v>
      </c>
    </row>
    <row r="74" spans="1:1">
      <c r="A74" t="s">
        <v>580</v>
      </c>
    </row>
    <row r="75" spans="1:1">
      <c r="A75" t="s">
        <v>581</v>
      </c>
    </row>
    <row r="76" spans="1:1">
      <c r="A76" t="s">
        <v>582</v>
      </c>
    </row>
    <row r="77" spans="1:1">
      <c r="A77" t="s">
        <v>583</v>
      </c>
    </row>
    <row r="78" spans="1:1">
      <c r="A78" t="s">
        <v>584</v>
      </c>
    </row>
    <row r="79" spans="1:1">
      <c r="A79" t="s">
        <v>585</v>
      </c>
    </row>
    <row r="80" spans="1:1">
      <c r="A80" t="s">
        <v>586</v>
      </c>
    </row>
    <row r="81" spans="1:1">
      <c r="A81" t="s">
        <v>587</v>
      </c>
    </row>
    <row r="82" spans="1:1">
      <c r="A82" t="s">
        <v>588</v>
      </c>
    </row>
    <row r="83" spans="1:1">
      <c r="A83" t="s">
        <v>589</v>
      </c>
    </row>
    <row r="84" spans="1:1">
      <c r="A84" t="s">
        <v>590</v>
      </c>
    </row>
    <row r="85" spans="1:1">
      <c r="A85" t="s">
        <v>591</v>
      </c>
    </row>
    <row r="86" spans="1:1">
      <c r="A86" t="s">
        <v>592</v>
      </c>
    </row>
    <row r="87" spans="1:1">
      <c r="A87" t="s">
        <v>593</v>
      </c>
    </row>
    <row r="88" spans="1:1">
      <c r="A88" t="s">
        <v>594</v>
      </c>
    </row>
    <row r="89" spans="1:1">
      <c r="A89" t="s">
        <v>595</v>
      </c>
    </row>
    <row r="90" spans="1:1">
      <c r="A90" t="s">
        <v>596</v>
      </c>
    </row>
    <row r="91" spans="1:1">
      <c r="A91" t="s">
        <v>597</v>
      </c>
    </row>
    <row r="92" spans="1:1">
      <c r="A92" t="s">
        <v>598</v>
      </c>
    </row>
    <row r="93" spans="1:1">
      <c r="A93" t="s">
        <v>599</v>
      </c>
    </row>
    <row r="94" spans="1:1">
      <c r="A94" t="s">
        <v>600</v>
      </c>
    </row>
    <row r="95" spans="1:1">
      <c r="A95" t="s">
        <v>601</v>
      </c>
    </row>
    <row r="96" spans="1:1">
      <c r="A96" t="s">
        <v>602</v>
      </c>
    </row>
    <row r="97" spans="1:1">
      <c r="A97" t="s">
        <v>603</v>
      </c>
    </row>
    <row r="98" spans="1:1">
      <c r="A98" t="s">
        <v>604</v>
      </c>
    </row>
    <row r="99" spans="1:1">
      <c r="A99" t="s">
        <v>605</v>
      </c>
    </row>
    <row r="100" spans="1:1">
      <c r="A100" t="s">
        <v>606</v>
      </c>
    </row>
    <row r="101" spans="1:1">
      <c r="A101" t="s">
        <v>607</v>
      </c>
    </row>
    <row r="102" spans="1:1">
      <c r="A102" t="s">
        <v>608</v>
      </c>
    </row>
    <row r="103" spans="1:1">
      <c r="A103" t="s">
        <v>609</v>
      </c>
    </row>
    <row r="104" spans="1:1">
      <c r="A104" t="s">
        <v>610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D12F-2234-4F73-B6BF-7E6559FBAEF2}">
  <sheetPr>
    <tabColor rgb="FF0070C0"/>
  </sheetPr>
  <dimension ref="A4:T104"/>
  <sheetViews>
    <sheetView topLeftCell="E1" workbookViewId="0">
      <selection activeCell="R7" sqref="R7"/>
    </sheetView>
  </sheetViews>
  <sheetFormatPr defaultRowHeight="15"/>
  <cols>
    <col min="1" max="1" width="16.42578125" customWidth="1"/>
    <col min="2" max="2" width="13.5703125" customWidth="1"/>
    <col min="3" max="3" width="27.7109375" customWidth="1"/>
    <col min="4" max="4" width="10.85546875" customWidth="1"/>
    <col min="5" max="5" width="12.140625" customWidth="1"/>
    <col min="7" max="8" width="15.5703125" customWidth="1"/>
    <col min="9" max="9" width="11.42578125" customWidth="1"/>
    <col min="10" max="10" width="14.5703125" customWidth="1"/>
    <col min="11" max="11" width="12.42578125" customWidth="1"/>
    <col min="12" max="12" width="10.7109375" customWidth="1"/>
    <col min="13" max="13" width="15.42578125" customWidth="1"/>
    <col min="14" max="14" width="11.140625" customWidth="1"/>
    <col min="15" max="15" width="8.140625" customWidth="1"/>
    <col min="16" max="16" width="19.7109375" customWidth="1"/>
    <col min="17" max="17" width="17.5703125" customWidth="1"/>
    <col min="18" max="18" width="46.28515625" customWidth="1"/>
    <col min="19" max="19" width="40.85546875" customWidth="1"/>
    <col min="20" max="20" width="15.42578125" customWidth="1"/>
  </cols>
  <sheetData>
    <row r="4" spans="1:20" ht="30.95" customHeight="1">
      <c r="A4" s="45" t="s">
        <v>420</v>
      </c>
      <c r="B4" s="45" t="s">
        <v>444</v>
      </c>
      <c r="C4" s="45" t="s">
        <v>421</v>
      </c>
      <c r="D4" s="45" t="s">
        <v>660</v>
      </c>
      <c r="E4" s="45" t="s">
        <v>661</v>
      </c>
      <c r="F4" s="45" t="s">
        <v>662</v>
      </c>
      <c r="G4" s="45" t="s">
        <v>663</v>
      </c>
      <c r="H4" s="45" t="s">
        <v>664</v>
      </c>
      <c r="I4" s="45" t="s">
        <v>665</v>
      </c>
      <c r="J4" s="45" t="s">
        <v>666</v>
      </c>
      <c r="K4" s="45" t="s">
        <v>667</v>
      </c>
      <c r="L4" s="45" t="s">
        <v>668</v>
      </c>
      <c r="M4" s="45" t="s">
        <v>669</v>
      </c>
      <c r="N4" s="45" t="s">
        <v>670</v>
      </c>
      <c r="O4" s="45" t="s">
        <v>671</v>
      </c>
      <c r="P4" s="45" t="s">
        <v>672</v>
      </c>
      <c r="Q4" s="45" t="s">
        <v>673</v>
      </c>
      <c r="R4" s="45" t="s">
        <v>674</v>
      </c>
      <c r="S4" s="45" t="s">
        <v>656</v>
      </c>
      <c r="T4" s="45" t="s">
        <v>675</v>
      </c>
    </row>
    <row r="5" spans="1:20">
      <c r="A5" t="str">
        <f>[1]Installer_Database!A5</f>
        <v>INST-001</v>
      </c>
      <c r="B5" t="str">
        <f>Installer_Database!Y5</f>
        <v>Preferred</v>
      </c>
      <c r="C5" t="str">
        <f>Installer_Database!B5</f>
        <v>Lagos Hybrid Power Ltd</v>
      </c>
      <c r="D5">
        <f>IF(C5="","",IF(ISNUMBER(SEARCH(Customer_Profile!$B$11,Installer_Database!G5)),15,IF(ISNUMBER(SEARCH(Customer_Profile!$B$10,Installer_Database!F5)),12,IF(ISNUMBER(SEARCH("National",Installer_Database!F5)),7,0))))</f>
        <v>15</v>
      </c>
      <c r="E5">
        <f>IF(C5="","",IF(ISNUMBER(SEARCH(Customer_Profile!$B$8,Installer_Database!H5)),15,IF(OR(AND(Customer_Profile!$B$8="Hospital",ISNUMBER(SEARCH("Commercial",Installer_Database!H5))),AND(Customer_Profile!$B$8="Hotel",ISNUMBER(SEARCH("Commercial",Installer_Database!H5))),AND(Customer_Profile!$B$8="School",ISNUMBER(SEARCH("Commercial",Installer_Database!H5)))),8,0)))</f>
        <v>15</v>
      </c>
      <c r="F5">
        <f>IF(C5="","",IFERROR(IF(VALUE(LEFT(Customer_Profile!$B$19,FIND("-",Customer_Profile!$B$19&amp;"-")-1))&lt;=Installer_Database!J5,15,IF(VALUE(LEFT(Customer_Profile!$B$19,FIND("-",Customer_Profile!$B$19&amp;"-")-1))&lt;=Installer_Database!J5*1.25,10,5)),8))</f>
        <v>15</v>
      </c>
      <c r="G5">
        <f>IF(C5="","",IF(Installer_Database!V5="Excellent",15,IF(Installer_Database!V5="Good",12,IF(Installer_Database!V5="Acceptable",8,IF(Installer_Database!V5="Weak",4,IF(Installer_Database!V5="Unverified",5,5))))))</f>
        <v>12</v>
      </c>
      <c r="H5">
        <f>IF(C5="","",IF(Installer_Database!K5="Strong",10,IF(Installer_Database!K5="Moderate",7,IF(Installer_Database!K5="Basic",4,IF(Installer_Database!K5="No",0,5)))))</f>
        <v>10</v>
      </c>
      <c r="I5">
        <f>IF(C5="","",IF(Installer_Database!W5="Excellent",10,IF(Installer_Database!W5="Good",8,IF(Installer_Database!W5="Acceptable",5,IF(Installer_Database!W5="Weak",2,IF(Installer_Database!W5="Unverified",4,4))))))</f>
        <v>10</v>
      </c>
      <c r="J5">
        <f>IF(C5="","",IF(Installer_Database!S5="Excellent",10,IF(Installer_Database!S5="Good",8,IF(Installer_Database!S5="Acceptable",5,IF(Installer_Database!S5="Weak",2,IF(Installer_Database!S5="Unverified",4,IF(Installer_Database!S5="Strong",10,IF(Installer_Database!S5="Basic",5,4))))))))</f>
        <v>10</v>
      </c>
      <c r="K5">
        <f>IF(C5="","",IF(Installer_Database!T5="Same day",5,IF(Installer_Database!T5="24-48 hours",4,IF(Installer_Database!T5="2-3 days",3,IF(Installer_Database!T5="Slow",1,2)))))</f>
        <v>5</v>
      </c>
      <c r="L5">
        <f>IF(C5="","",IF(Installer_Database!U5=Customer_Profile!$B$12,5,IF(OR(Installer_Database!U5="Mid-range",Customer_Profile!$B$12="Unknown"),3,1)))</f>
        <v>5</v>
      </c>
      <c r="M5" s="47">
        <f t="shared" ref="M5:M65" si="0">IF(C5="","",SUM(D5:L5))</f>
        <v>97</v>
      </c>
      <c r="N5" s="47">
        <f>100</f>
        <v>100</v>
      </c>
      <c r="O5" s="35">
        <f t="shared" ref="O5:O65" si="1">IF(C5="","",M5/N5)</f>
        <v>0.97</v>
      </c>
      <c r="P5" t="str">
        <f t="shared" ref="P5:P65" si="2">IF(C5="","",IF(O5&gt;=0.85,"Excellent Match",IF(O5&gt;=0.7,"Good Match",IF(O5&gt;=0.55,"Possible Match","Do Not Recommend"))))</f>
        <v>Excellent Match</v>
      </c>
      <c r="Q5" t="str">
        <f t="shared" ref="Q5:Q65" si="3">IF(C5="","",IF(AND(O5&gt;=0.7,OR(B5="Approved",B5="Preferred")),"Yes","No"))</f>
        <v>Yes</v>
      </c>
      <c r="R5" t="str">
        <f>IF(C5="","",IF(LEN(IF(D5&gt;=12,"; serves your location","") &amp;IF(E5&gt;=15,"; experienced in your project type",IF(E5&gt;=8,"; related project experience","")) &amp;IF(H5&gt;=7,"; good battery/hybrid capability","") &amp;IF(J5&gt;=8,"; strong after-sales support",""))=0,"",
MID(IF(D5&gt;=12,"; serves your location","") &amp;IF(E5&gt;=15,"; experienced in your project type",IF(E5&gt;=8,"; related project experience","")) &amp;IF(H5&gt;=7,"; good battery/hybrid capability","") &amp;IF(J5&gt;=8,"; strong after-sales support",""),3,999)))</f>
        <v>serves your location; experienced in your project type; good battery/hybrid capability; strong after-sales support</v>
      </c>
      <c r="S5" t="str">
        <f>IF(C5="","",Installer_Database!Z5)</f>
        <v>Strong residential and SME hybrid delivery.</v>
      </c>
      <c r="T5">
        <f>IFERROR(RANK(O5,$O$5:$O$104,0),"")</f>
        <v>1</v>
      </c>
    </row>
    <row r="6" spans="1:20">
      <c r="A6" t="str">
        <f>[1]Installer_Database!A6</f>
        <v>INST-002</v>
      </c>
      <c r="B6" t="str">
        <f>Installer_Database!Y6</f>
        <v>Approved</v>
      </c>
      <c r="C6" t="str">
        <f>Installer_Database!B6</f>
        <v>Abuja SolarCare Engineering</v>
      </c>
      <c r="D6">
        <f>IF(C6="","",IF(ISNUMBER(SEARCH(Customer_Profile!$B$11,Installer_Database!G6)),15,IF(ISNUMBER(SEARCH(Customer_Profile!$B$10,Installer_Database!F6)),12,IF(ISNUMBER(SEARCH("National",Installer_Database!F6)),7,0))))</f>
        <v>15</v>
      </c>
      <c r="E6">
        <f>IF(C6="","",IF(ISNUMBER(SEARCH(Customer_Profile!$B$8,Installer_Database!H6)),15,IF(OR(AND(Customer_Profile!$B$8="Hospital",ISNUMBER(SEARCH("Commercial",Installer_Database!H6))),AND(Customer_Profile!$B$8="Hotel",ISNUMBER(SEARCH("Commercial",Installer_Database!H6))),AND(Customer_Profile!$B$8="School",ISNUMBER(SEARCH("Commercial",Installer_Database!H6)))),8,0)))</f>
        <v>15</v>
      </c>
      <c r="F6">
        <f>IF(C6="","",IFERROR(IF(VALUE(LEFT(Customer_Profile!$B$19,FIND("-",Customer_Profile!$B$19&amp;"-")-1))&lt;=Installer_Database!J6,15,IF(VALUE(LEFT(Customer_Profile!$B$19,FIND("-",Customer_Profile!$B$19&amp;"-")-1))&lt;=Installer_Database!J6*1.25,10,5)),8))</f>
        <v>15</v>
      </c>
      <c r="G6">
        <f>IF(C6="","",IF(Installer_Database!V6="Excellent",15,IF(Installer_Database!V6="Good",12,IF(Installer_Database!V6="Acceptable",8,IF(Installer_Database!V6="Weak",4,IF(Installer_Database!V6="Unverified",5,5))))))</f>
        <v>15</v>
      </c>
      <c r="H6">
        <f>IF(C6="","",IF(Installer_Database!K6="Strong",10,IF(Installer_Database!K6="Moderate",7,IF(Installer_Database!K6="Basic",4,IF(Installer_Database!K6="No",0,5)))))</f>
        <v>10</v>
      </c>
      <c r="I6">
        <f>IF(C6="","",IF(Installer_Database!W6="Excellent",10,IF(Installer_Database!W6="Good",8,IF(Installer_Database!W6="Acceptable",5,IF(Installer_Database!W6="Weak",2,IF(Installer_Database!W6="Unverified",4,4))))))</f>
        <v>8</v>
      </c>
      <c r="J6">
        <f>IF(C6="","",IF(Installer_Database!S6="Excellent",10,IF(Installer_Database!S6="Good",8,IF(Installer_Database!S6="Acceptable",5,IF(Installer_Database!S6="Weak",2,IF(Installer_Database!S6="Unverified",4,IF(Installer_Database!S6="Strong",10,IF(Installer_Database!S6="Basic",5,4))))))))</f>
        <v>10</v>
      </c>
      <c r="K6">
        <f>IF(C6="","",IF(Installer_Database!T6="Same day",5,IF(Installer_Database!T6="24-48 hours",4,IF(Installer_Database!T6="2-3 days",3,IF(Installer_Database!T6="Slow",1,2)))))</f>
        <v>4</v>
      </c>
      <c r="L6">
        <f>IF(C6="","",IF(Installer_Database!U6=Customer_Profile!$B$12,5,IF(OR(Installer_Database!U6="Mid-range",Customer_Profile!$B$12="Unknown"),3,1)))</f>
        <v>1</v>
      </c>
      <c r="M6" s="47">
        <f t="shared" si="0"/>
        <v>93</v>
      </c>
      <c r="N6" s="47">
        <f>100</f>
        <v>100</v>
      </c>
      <c r="O6" s="35">
        <f t="shared" si="1"/>
        <v>0.93</v>
      </c>
      <c r="P6" t="str">
        <f t="shared" si="2"/>
        <v>Excellent Match</v>
      </c>
      <c r="Q6" t="str">
        <f t="shared" si="3"/>
        <v>Yes</v>
      </c>
      <c r="R6" t="str">
        <f t="shared" ref="R6:R69" si="4">IF(C6="","",IF(LEN(IF(D6&gt;=12,"; serves your location","") &amp;IF(E6&gt;=15,"; experienced in your project type",IF(E6&gt;=8,"; related project experience","")) &amp;IF(H6&gt;=7,"; good battery/hybrid capability","") &amp;IF(J6&gt;=8,"; strong after-sales support",""))=0,"",
MID(IF(D6&gt;=12,"; serves your location","") &amp;IF(E6&gt;=15,"; experienced in your project type",IF(E6&gt;=8,"; related project experience","")) &amp;IF(H6&gt;=7,"; good battery/hybrid capability","") &amp;IF(J6&gt;=8,"; strong after-sales support",""),3,999)))</f>
        <v>serves your location; experienced in your project type; good battery/hybrid capability; strong after-sales support</v>
      </c>
      <c r="S6" t="str">
        <f>IF(C6="","",Installer_Database!Z6)</f>
        <v>Good for critical backup and Abuja projects.</v>
      </c>
      <c r="T6">
        <f t="shared" ref="T6:T69" si="5">IFERROR(RANK(O6,$O$5:$O$104,0),"")</f>
        <v>2</v>
      </c>
    </row>
    <row r="7" spans="1:20">
      <c r="A7" t="str">
        <f>[1]Installer_Database!A7</f>
        <v>INST-003</v>
      </c>
      <c r="B7" t="str">
        <f>Installer_Database!Y7</f>
        <v>Approved</v>
      </c>
      <c r="C7" t="str">
        <f>Installer_Database!B7</f>
        <v>Ogun Industrial Energy Works</v>
      </c>
      <c r="D7">
        <f>IF(C7="","",IF(ISNUMBER(SEARCH(Customer_Profile!$B$11,Installer_Database!G7)),15,IF(ISNUMBER(SEARCH(Customer_Profile!$B$10,Installer_Database!F7)),12,IF(ISNUMBER(SEARCH("National",Installer_Database!F7)),7,0))))</f>
        <v>15</v>
      </c>
      <c r="E7">
        <f>IF(C7="","",IF(ISNUMBER(SEARCH(Customer_Profile!$B$8,Installer_Database!H7)),15,IF(OR(AND(Customer_Profile!$B$8="Hospital",ISNUMBER(SEARCH("Commercial",Installer_Database!H7))),AND(Customer_Profile!$B$8="Hotel",ISNUMBER(SEARCH("Commercial",Installer_Database!H7))),AND(Customer_Profile!$B$8="School",ISNUMBER(SEARCH("Commercial",Installer_Database!H7)))),8,0)))</f>
        <v>0</v>
      </c>
      <c r="F7">
        <f>IF(C7="","",IFERROR(IF(VALUE(LEFT(Customer_Profile!$B$19,FIND("-",Customer_Profile!$B$19&amp;"-")-1))&lt;=Installer_Database!J7,15,IF(VALUE(LEFT(Customer_Profile!$B$19,FIND("-",Customer_Profile!$B$19&amp;"-")-1))&lt;=Installer_Database!J7*1.25,10,5)),8))</f>
        <v>15</v>
      </c>
      <c r="G7">
        <f>IF(C7="","",IF(Installer_Database!V7="Excellent",15,IF(Installer_Database!V7="Good",12,IF(Installer_Database!V7="Acceptable",8,IF(Installer_Database!V7="Weak",4,IF(Installer_Database!V7="Unverified",5,5))))))</f>
        <v>12</v>
      </c>
      <c r="H7">
        <f>IF(C7="","",IF(Installer_Database!K7="Strong",10,IF(Installer_Database!K7="Moderate",7,IF(Installer_Database!K7="Basic",4,IF(Installer_Database!K7="No",0,5)))))</f>
        <v>7</v>
      </c>
      <c r="I7">
        <f>IF(C7="","",IF(Installer_Database!W7="Excellent",10,IF(Installer_Database!W7="Good",8,IF(Installer_Database!W7="Acceptable",5,IF(Installer_Database!W7="Weak",2,IF(Installer_Database!W7="Unverified",4,4))))))</f>
        <v>8</v>
      </c>
      <c r="J7">
        <f>IF(C7="","",IF(Installer_Database!S7="Excellent",10,IF(Installer_Database!S7="Good",8,IF(Installer_Database!S7="Acceptable",5,IF(Installer_Database!S7="Weak",2,IF(Installer_Database!S7="Unverified",4,IF(Installer_Database!S7="Strong",10,IF(Installer_Database!S7="Basic",5,4))))))))</f>
        <v>8</v>
      </c>
      <c r="K7">
        <f>IF(C7="","",IF(Installer_Database!T7="Same day",5,IF(Installer_Database!T7="24-48 hours",4,IF(Installer_Database!T7="2-3 days",3,IF(Installer_Database!T7="Slow",1,2)))))</f>
        <v>3</v>
      </c>
      <c r="L7">
        <f>IF(C7="","",IF(Installer_Database!U7=Customer_Profile!$B$12,5,IF(OR(Installer_Database!U7="Mid-range",Customer_Profile!$B$12="Unknown"),3,1)))</f>
        <v>5</v>
      </c>
      <c r="M7" s="47">
        <f t="shared" si="0"/>
        <v>73</v>
      </c>
      <c r="N7" s="47">
        <f>100</f>
        <v>100</v>
      </c>
      <c r="O7" s="35">
        <f t="shared" si="1"/>
        <v>0.73</v>
      </c>
      <c r="P7" t="str">
        <f t="shared" si="2"/>
        <v>Good Match</v>
      </c>
      <c r="Q7" t="str">
        <f t="shared" si="3"/>
        <v>Yes</v>
      </c>
      <c r="R7" t="str">
        <f t="shared" si="4"/>
        <v>serves your location; good battery/hybrid capability; strong after-sales support</v>
      </c>
      <c r="S7" t="str">
        <f>IF(C7="","",Installer_Database!Z7)</f>
        <v>Good for warehouses and light factory loads.</v>
      </c>
      <c r="T7">
        <f t="shared" si="5"/>
        <v>5</v>
      </c>
    </row>
    <row r="8" spans="1:20">
      <c r="A8" t="str">
        <f>[1]Installer_Database!A8</f>
        <v>INST-004</v>
      </c>
      <c r="B8" t="str">
        <f>Installer_Database!Y8</f>
        <v>Approved</v>
      </c>
      <c r="C8" t="str">
        <f>Installer_Database!B8</f>
        <v>Rivers Reliable Solar</v>
      </c>
      <c r="D8">
        <f>IF(C8="","",IF(ISNUMBER(SEARCH(Customer_Profile!$B$11,Installer_Database!G8)),15,IF(ISNUMBER(SEARCH(Customer_Profile!$B$10,Installer_Database!F8)),12,IF(ISNUMBER(SEARCH("National",Installer_Database!F8)),7,0))))</f>
        <v>15</v>
      </c>
      <c r="E8">
        <f>IF(C8="","",IF(ISNUMBER(SEARCH(Customer_Profile!$B$8,Installer_Database!H8)),15,IF(OR(AND(Customer_Profile!$B$8="Hospital",ISNUMBER(SEARCH("Commercial",Installer_Database!H8))),AND(Customer_Profile!$B$8="Hotel",ISNUMBER(SEARCH("Commercial",Installer_Database!H8))),AND(Customer_Profile!$B$8="School",ISNUMBER(SEARCH("Commercial",Installer_Database!H8)))),8,0)))</f>
        <v>15</v>
      </c>
      <c r="F8">
        <f>IF(C8="","",IFERROR(IF(VALUE(LEFT(Customer_Profile!$B$19,FIND("-",Customer_Profile!$B$19&amp;"-")-1))&lt;=Installer_Database!J8,15,IF(VALUE(LEFT(Customer_Profile!$B$19,FIND("-",Customer_Profile!$B$19&amp;"-")-1))&lt;=Installer_Database!J8*1.25,10,5)),8))</f>
        <v>15</v>
      </c>
      <c r="G8">
        <f>IF(C8="","",IF(Installer_Database!V8="Excellent",15,IF(Installer_Database!V8="Good",12,IF(Installer_Database!V8="Acceptable",8,IF(Installer_Database!V8="Weak",4,IF(Installer_Database!V8="Unverified",5,5))))))</f>
        <v>12</v>
      </c>
      <c r="H8">
        <f>IF(C8="","",IF(Installer_Database!K8="Strong",10,IF(Installer_Database!K8="Moderate",7,IF(Installer_Database!K8="Basic",4,IF(Installer_Database!K8="No",0,5)))))</f>
        <v>10</v>
      </c>
      <c r="I8">
        <f>IF(C8="","",IF(Installer_Database!W8="Excellent",10,IF(Installer_Database!W8="Good",8,IF(Installer_Database!W8="Acceptable",5,IF(Installer_Database!W8="Weak",2,IF(Installer_Database!W8="Unverified",4,4))))))</f>
        <v>8</v>
      </c>
      <c r="J8">
        <f>IF(C8="","",IF(Installer_Database!S8="Excellent",10,IF(Installer_Database!S8="Good",8,IF(Installer_Database!S8="Acceptable",5,IF(Installer_Database!S8="Weak",2,IF(Installer_Database!S8="Unverified",4,IF(Installer_Database!S8="Strong",10,IF(Installer_Database!S8="Basic",5,4))))))))</f>
        <v>8</v>
      </c>
      <c r="K8">
        <f>IF(C8="","",IF(Installer_Database!T8="Same day",5,IF(Installer_Database!T8="24-48 hours",4,IF(Installer_Database!T8="2-3 days",3,IF(Installer_Database!T8="Slow",1,2)))))</f>
        <v>4</v>
      </c>
      <c r="L8">
        <f>IF(C8="","",IF(Installer_Database!U8=Customer_Profile!$B$12,5,IF(OR(Installer_Database!U8="Mid-range",Customer_Profile!$B$12="Unknown"),3,1)))</f>
        <v>5</v>
      </c>
      <c r="M8" s="47">
        <f t="shared" si="0"/>
        <v>92</v>
      </c>
      <c r="N8" s="47">
        <f>100</f>
        <v>100</v>
      </c>
      <c r="O8" s="35">
        <f t="shared" si="1"/>
        <v>0.92</v>
      </c>
      <c r="P8" t="str">
        <f t="shared" si="2"/>
        <v>Excellent Match</v>
      </c>
      <c r="Q8" t="str">
        <f t="shared" si="3"/>
        <v>Yes</v>
      </c>
      <c r="R8" t="str">
        <f t="shared" si="4"/>
        <v>serves your location; experienced in your project type; good battery/hybrid capability; strong after-sales support</v>
      </c>
      <c r="S8" t="str">
        <f>IF(C8="","",Installer_Database!Z8)</f>
        <v>Useful for Port Harcourt hotel/clinic projects.</v>
      </c>
      <c r="T8">
        <f t="shared" si="5"/>
        <v>3</v>
      </c>
    </row>
    <row r="9" spans="1:20">
      <c r="A9" t="str">
        <f>[1]Installer_Database!A9</f>
        <v>INST-005</v>
      </c>
      <c r="B9" t="str">
        <f>Installer_Database!Y9</f>
        <v>Approved</v>
      </c>
      <c r="C9" t="str">
        <f>Installer_Database!B9</f>
        <v>Budget Solar Installers NG</v>
      </c>
      <c r="D9">
        <f>IF(C9="","",IF(ISNUMBER(SEARCH(Customer_Profile!$B$11,Installer_Database!G9)),15,IF(ISNUMBER(SEARCH(Customer_Profile!$B$10,Installer_Database!F9)),12,IF(ISNUMBER(SEARCH("National",Installer_Database!F9)),7,0))))</f>
        <v>15</v>
      </c>
      <c r="E9">
        <f>IF(C9="","",IF(ISNUMBER(SEARCH(Customer_Profile!$B$8,Installer_Database!H9)),15,IF(OR(AND(Customer_Profile!$B$8="Hospital",ISNUMBER(SEARCH("Commercial",Installer_Database!H9))),AND(Customer_Profile!$B$8="Hotel",ISNUMBER(SEARCH("Commercial",Installer_Database!H9))),AND(Customer_Profile!$B$8="School",ISNUMBER(SEARCH("Commercial",Installer_Database!H9)))),8,0)))</f>
        <v>15</v>
      </c>
      <c r="F9">
        <f>IF(C9="","",IFERROR(IF(VALUE(LEFT(Customer_Profile!$B$19,FIND("-",Customer_Profile!$B$19&amp;"-")-1))&lt;=Installer_Database!J9,15,IF(VALUE(LEFT(Customer_Profile!$B$19,FIND("-",Customer_Profile!$B$19&amp;"-")-1))&lt;=Installer_Database!J9*1.25,10,5)),8))</f>
        <v>15</v>
      </c>
      <c r="G9">
        <f>IF(C9="","",IF(Installer_Database!V9="Excellent",15,IF(Installer_Database!V9="Good",12,IF(Installer_Database!V9="Acceptable",8,IF(Installer_Database!V9="Weak",4,IF(Installer_Database!V9="Unverified",5,5))))))</f>
        <v>8</v>
      </c>
      <c r="H9">
        <f>IF(C9="","",IF(Installer_Database!K9="Strong",10,IF(Installer_Database!K9="Moderate",7,IF(Installer_Database!K9="Basic",4,IF(Installer_Database!K9="No",0,5)))))</f>
        <v>4</v>
      </c>
      <c r="I9">
        <f>IF(C9="","",IF(Installer_Database!W9="Excellent",10,IF(Installer_Database!W9="Good",8,IF(Installer_Database!W9="Acceptable",5,IF(Installer_Database!W9="Weak",2,IF(Installer_Database!W9="Unverified",4,4))))))</f>
        <v>4</v>
      </c>
      <c r="J9">
        <f>IF(C9="","",IF(Installer_Database!S9="Excellent",10,IF(Installer_Database!S9="Good",8,IF(Installer_Database!S9="Acceptable",5,IF(Installer_Database!S9="Weak",2,IF(Installer_Database!S9="Unverified",4,IF(Installer_Database!S9="Strong",10,IF(Installer_Database!S9="Basic",5,4))))))))</f>
        <v>5</v>
      </c>
      <c r="K9">
        <f>IF(C9="","",IF(Installer_Database!T9="Same day",5,IF(Installer_Database!T9="24-48 hours",4,IF(Installer_Database!T9="2-3 days",3,IF(Installer_Database!T9="Slow",1,2)))))</f>
        <v>5</v>
      </c>
      <c r="L9">
        <f>IF(C9="","",IF(Installer_Database!U9=Customer_Profile!$B$12,5,IF(OR(Installer_Database!U9="Mid-range",Customer_Profile!$B$12="Unknown"),3,1)))</f>
        <v>1</v>
      </c>
      <c r="M9" s="47">
        <f t="shared" si="0"/>
        <v>72</v>
      </c>
      <c r="N9" s="47">
        <f>100</f>
        <v>100</v>
      </c>
      <c r="O9" s="35">
        <f t="shared" si="1"/>
        <v>0.72</v>
      </c>
      <c r="P9" t="str">
        <f t="shared" si="2"/>
        <v>Good Match</v>
      </c>
      <c r="Q9" t="str">
        <f t="shared" si="3"/>
        <v>Yes</v>
      </c>
      <c r="R9" t="str">
        <f t="shared" si="4"/>
        <v>serves your location; experienced in your project type</v>
      </c>
      <c r="S9" t="str">
        <f>IF(C9="","",Installer_Database!Z9)</f>
        <v>Best for small simple systems only.</v>
      </c>
      <c r="T9">
        <f t="shared" si="5"/>
        <v>6</v>
      </c>
    </row>
    <row r="10" spans="1:20">
      <c r="A10" t="str">
        <f>[1]Installer_Database!A10</f>
        <v>INST-006</v>
      </c>
      <c r="B10" t="str">
        <f>Installer_Database!Y10</f>
        <v>Preferred</v>
      </c>
      <c r="C10" t="str">
        <f>Installer_Database!B10</f>
        <v>Prime Critical Power Systems</v>
      </c>
      <c r="D10">
        <f>IF(C10="","",IF(ISNUMBER(SEARCH(Customer_Profile!$B$11,Installer_Database!G10)),15,IF(ISNUMBER(SEARCH(Customer_Profile!$B$10,Installer_Database!F10)),12,IF(ISNUMBER(SEARCH("National",Installer_Database!F10)),7,0))))</f>
        <v>15</v>
      </c>
      <c r="E10">
        <f>IF(C10="","",IF(ISNUMBER(SEARCH(Customer_Profile!$B$8,Installer_Database!H10)),15,IF(OR(AND(Customer_Profile!$B$8="Hospital",ISNUMBER(SEARCH("Commercial",Installer_Database!H10))),AND(Customer_Profile!$B$8="Hotel",ISNUMBER(SEARCH("Commercial",Installer_Database!H10))),AND(Customer_Profile!$B$8="School",ISNUMBER(SEARCH("Commercial",Installer_Database!H10)))),8,0)))</f>
        <v>0</v>
      </c>
      <c r="F10">
        <f>IF(C10="","",IFERROR(IF(VALUE(LEFT(Customer_Profile!$B$19,FIND("-",Customer_Profile!$B$19&amp;"-")-1))&lt;=Installer_Database!J10,15,IF(VALUE(LEFT(Customer_Profile!$B$19,FIND("-",Customer_Profile!$B$19&amp;"-")-1))&lt;=Installer_Database!J10*1.25,10,5)),8))</f>
        <v>15</v>
      </c>
      <c r="G10">
        <f>IF(C10="","",IF(Installer_Database!V10="Excellent",15,IF(Installer_Database!V10="Good",12,IF(Installer_Database!V10="Acceptable",8,IF(Installer_Database!V10="Weak",4,IF(Installer_Database!V10="Unverified",5,5))))))</f>
        <v>15</v>
      </c>
      <c r="H10">
        <f>IF(C10="","",IF(Installer_Database!K10="Strong",10,IF(Installer_Database!K10="Moderate",7,IF(Installer_Database!K10="Basic",4,IF(Installer_Database!K10="No",0,5)))))</f>
        <v>10</v>
      </c>
      <c r="I10">
        <f>IF(C10="","",IF(Installer_Database!W10="Excellent",10,IF(Installer_Database!W10="Good",8,IF(Installer_Database!W10="Acceptable",5,IF(Installer_Database!W10="Weak",2,IF(Installer_Database!W10="Unverified",4,4))))))</f>
        <v>10</v>
      </c>
      <c r="J10">
        <f>IF(C10="","",IF(Installer_Database!S10="Excellent",10,IF(Installer_Database!S10="Good",8,IF(Installer_Database!S10="Acceptable",5,IF(Installer_Database!S10="Weak",2,IF(Installer_Database!S10="Unverified",4,IF(Installer_Database!S10="Strong",10,IF(Installer_Database!S10="Basic",5,4))))))))</f>
        <v>10</v>
      </c>
      <c r="K10">
        <f>IF(C10="","",IF(Installer_Database!T10="Same day",5,IF(Installer_Database!T10="24-48 hours",4,IF(Installer_Database!T10="2-3 days",3,IF(Installer_Database!T10="Slow",1,2)))))</f>
        <v>4</v>
      </c>
      <c r="L10">
        <f>IF(C10="","",IF(Installer_Database!U10=Customer_Profile!$B$12,5,IF(OR(Installer_Database!U10="Mid-range",Customer_Profile!$B$12="Unknown"),3,1)))</f>
        <v>1</v>
      </c>
      <c r="M10" s="47">
        <f t="shared" si="0"/>
        <v>80</v>
      </c>
      <c r="N10" s="47">
        <f>100</f>
        <v>100</v>
      </c>
      <c r="O10" s="35">
        <f t="shared" si="1"/>
        <v>0.8</v>
      </c>
      <c r="P10" t="str">
        <f t="shared" si="2"/>
        <v>Good Match</v>
      </c>
      <c r="Q10" t="str">
        <f t="shared" si="3"/>
        <v>Yes</v>
      </c>
      <c r="R10" t="str">
        <f t="shared" si="4"/>
        <v>serves your location; good battery/hybrid capability; strong after-sales support</v>
      </c>
      <c r="S10" t="str">
        <f>IF(C10="","",Installer_Database!Z10)</f>
        <v>High capability for hospitals and larger sites.</v>
      </c>
      <c r="T10">
        <f t="shared" si="5"/>
        <v>4</v>
      </c>
    </row>
    <row r="11" spans="1:20">
      <c r="A11" t="str">
        <f>[1]Installer_Database!A11</f>
        <v>INST-007</v>
      </c>
      <c r="B11">
        <f>Installer_Database!Y11</f>
        <v>0</v>
      </c>
      <c r="C11">
        <f>Installer_Database!B11</f>
        <v>0</v>
      </c>
      <c r="D11">
        <f>IF(C11="","",IF(ISNUMBER(SEARCH(Customer_Profile!$B$11,Installer_Database!G11)),15,IF(ISNUMBER(SEARCH(Customer_Profile!$B$10,Installer_Database!F11)),12,IF(ISNUMBER(SEARCH("National",Installer_Database!F11)),7,0))))</f>
        <v>0</v>
      </c>
      <c r="E11">
        <f>IF(C11="","",IF(ISNUMBER(SEARCH(Customer_Profile!$B$8,Installer_Database!H11)),15,IF(OR(AND(Customer_Profile!$B$8="Hospital",ISNUMBER(SEARCH("Commercial",Installer_Database!H11))),AND(Customer_Profile!$B$8="Hotel",ISNUMBER(SEARCH("Commercial",Installer_Database!H11))),AND(Customer_Profile!$B$8="School",ISNUMBER(SEARCH("Commercial",Installer_Database!H11)))),8,0)))</f>
        <v>0</v>
      </c>
      <c r="F11">
        <f>IF(C11="","",IFERROR(IF(VALUE(LEFT(Customer_Profile!$B$19,FIND("-",Customer_Profile!$B$19&amp;"-")-1))&lt;=Installer_Database!J11,15,IF(VALUE(LEFT(Customer_Profile!$B$19,FIND("-",Customer_Profile!$B$19&amp;"-")-1))&lt;=Installer_Database!J11*1.25,10,5)),8))</f>
        <v>5</v>
      </c>
      <c r="G11">
        <f>IF(C11="","",IF(Installer_Database!V11="Excellent",15,IF(Installer_Database!V11="Good",12,IF(Installer_Database!V11="Acceptable",8,IF(Installer_Database!V11="Weak",4,IF(Installer_Database!V11="Unverified",5,5))))))</f>
        <v>5</v>
      </c>
      <c r="H11">
        <f>IF(C11="","",IF(Installer_Database!K11="Strong",10,IF(Installer_Database!K11="Moderate",7,IF(Installer_Database!K11="Basic",4,IF(Installer_Database!K11="No",0,5)))))</f>
        <v>5</v>
      </c>
      <c r="I11">
        <f>IF(C11="","",IF(Installer_Database!W11="Excellent",10,IF(Installer_Database!W11="Good",8,IF(Installer_Database!W11="Acceptable",5,IF(Installer_Database!W11="Weak",2,IF(Installer_Database!W11="Unverified",4,4))))))</f>
        <v>4</v>
      </c>
      <c r="J11">
        <f>IF(C11="","",IF(Installer_Database!S11="Excellent",10,IF(Installer_Database!S11="Good",8,IF(Installer_Database!S11="Acceptable",5,IF(Installer_Database!S11="Weak",2,IF(Installer_Database!S11="Unverified",4,IF(Installer_Database!S11="Strong",10,IF(Installer_Database!S11="Basic",5,4))))))))</f>
        <v>4</v>
      </c>
      <c r="K11">
        <f>IF(C11="","",IF(Installer_Database!T11="Same day",5,IF(Installer_Database!T11="24-48 hours",4,IF(Installer_Database!T11="2-3 days",3,IF(Installer_Database!T11="Slow",1,2)))))</f>
        <v>2</v>
      </c>
      <c r="L11">
        <f>IF(C11="","",IF(Installer_Database!U11=Customer_Profile!$B$12,5,IF(OR(Installer_Database!U11="Mid-range",Customer_Profile!$B$12="Unknown"),3,1)))</f>
        <v>1</v>
      </c>
      <c r="M11" s="47">
        <f t="shared" si="0"/>
        <v>26</v>
      </c>
      <c r="N11" s="47">
        <f>100</f>
        <v>100</v>
      </c>
      <c r="O11" s="35">
        <f t="shared" si="1"/>
        <v>0.26</v>
      </c>
      <c r="P11" t="str">
        <f t="shared" si="2"/>
        <v>Do Not Recommend</v>
      </c>
      <c r="Q11" t="str">
        <f t="shared" si="3"/>
        <v>No</v>
      </c>
      <c r="R11" t="str">
        <f t="shared" si="4"/>
        <v/>
      </c>
      <c r="S11">
        <f>IF(C11="","",Installer_Database!Z11)</f>
        <v>0</v>
      </c>
      <c r="T11">
        <f t="shared" si="5"/>
        <v>7</v>
      </c>
    </row>
    <row r="12" spans="1:20">
      <c r="A12" t="str">
        <f>[1]Installer_Database!A12</f>
        <v>INST-008</v>
      </c>
      <c r="B12">
        <f>Installer_Database!Y12</f>
        <v>0</v>
      </c>
      <c r="C12">
        <f>Installer_Database!B12</f>
        <v>0</v>
      </c>
      <c r="D12">
        <f>IF(C12="","",IF(ISNUMBER(SEARCH(Customer_Profile!$B$11,Installer_Database!G12)),15,IF(ISNUMBER(SEARCH(Customer_Profile!$B$10,Installer_Database!F12)),12,IF(ISNUMBER(SEARCH("National",Installer_Database!F12)),7,0))))</f>
        <v>0</v>
      </c>
      <c r="E12">
        <f>IF(C12="","",IF(ISNUMBER(SEARCH(Customer_Profile!$B$8,Installer_Database!H12)),15,IF(OR(AND(Customer_Profile!$B$8="Hospital",ISNUMBER(SEARCH("Commercial",Installer_Database!H12))),AND(Customer_Profile!$B$8="Hotel",ISNUMBER(SEARCH("Commercial",Installer_Database!H12))),AND(Customer_Profile!$B$8="School",ISNUMBER(SEARCH("Commercial",Installer_Database!H12)))),8,0)))</f>
        <v>0</v>
      </c>
      <c r="F12">
        <f>IF(C12="","",IFERROR(IF(VALUE(LEFT(Customer_Profile!$B$19,FIND("-",Customer_Profile!$B$19&amp;"-")-1))&lt;=Installer_Database!J12,15,IF(VALUE(LEFT(Customer_Profile!$B$19,FIND("-",Customer_Profile!$B$19&amp;"-")-1))&lt;=Installer_Database!J12*1.25,10,5)),8))</f>
        <v>5</v>
      </c>
      <c r="G12">
        <f>IF(C12="","",IF(Installer_Database!V12="Excellent",15,IF(Installer_Database!V12="Good",12,IF(Installer_Database!V12="Acceptable",8,IF(Installer_Database!V12="Weak",4,IF(Installer_Database!V12="Unverified",5,5))))))</f>
        <v>5</v>
      </c>
      <c r="H12">
        <f>IF(C12="","",IF(Installer_Database!K12="Strong",10,IF(Installer_Database!K12="Moderate",7,IF(Installer_Database!K12="Basic",4,IF(Installer_Database!K12="No",0,5)))))</f>
        <v>5</v>
      </c>
      <c r="I12">
        <f>IF(C12="","",IF(Installer_Database!W12="Excellent",10,IF(Installer_Database!W12="Good",8,IF(Installer_Database!W12="Acceptable",5,IF(Installer_Database!W12="Weak",2,IF(Installer_Database!W12="Unverified",4,4))))))</f>
        <v>4</v>
      </c>
      <c r="J12">
        <f>IF(C12="","",IF(Installer_Database!S12="Excellent",10,IF(Installer_Database!S12="Good",8,IF(Installer_Database!S12="Acceptable",5,IF(Installer_Database!S12="Weak",2,IF(Installer_Database!S12="Unverified",4,IF(Installer_Database!S12="Strong",10,IF(Installer_Database!S12="Basic",5,4))))))))</f>
        <v>4</v>
      </c>
      <c r="K12">
        <f>IF(C12="","",IF(Installer_Database!T12="Same day",5,IF(Installer_Database!T12="24-48 hours",4,IF(Installer_Database!T12="2-3 days",3,IF(Installer_Database!T12="Slow",1,2)))))</f>
        <v>2</v>
      </c>
      <c r="L12">
        <f>IF(C12="","",IF(Installer_Database!U12=Customer_Profile!$B$12,5,IF(OR(Installer_Database!U12="Mid-range",Customer_Profile!$B$12="Unknown"),3,1)))</f>
        <v>1</v>
      </c>
      <c r="M12" s="47">
        <f t="shared" si="0"/>
        <v>26</v>
      </c>
      <c r="N12" s="47">
        <f>100</f>
        <v>100</v>
      </c>
      <c r="O12" s="35">
        <f t="shared" si="1"/>
        <v>0.26</v>
      </c>
      <c r="P12" t="str">
        <f t="shared" si="2"/>
        <v>Do Not Recommend</v>
      </c>
      <c r="Q12" t="str">
        <f t="shared" si="3"/>
        <v>No</v>
      </c>
      <c r="R12" t="str">
        <f t="shared" si="4"/>
        <v/>
      </c>
      <c r="S12">
        <f>IF(C12="","",Installer_Database!Z12)</f>
        <v>0</v>
      </c>
      <c r="T12">
        <f t="shared" si="5"/>
        <v>7</v>
      </c>
    </row>
    <row r="13" spans="1:20">
      <c r="A13" t="str">
        <f>[1]Installer_Database!A13</f>
        <v>INST-009</v>
      </c>
      <c r="B13">
        <f>Installer_Database!Y13</f>
        <v>0</v>
      </c>
      <c r="C13">
        <f>Installer_Database!B13</f>
        <v>0</v>
      </c>
      <c r="D13">
        <f>IF(C13="","",IF(ISNUMBER(SEARCH(Customer_Profile!$B$11,Installer_Database!G13)),15,IF(ISNUMBER(SEARCH(Customer_Profile!$B$10,Installer_Database!F13)),12,IF(ISNUMBER(SEARCH("National",Installer_Database!F13)),7,0))))</f>
        <v>0</v>
      </c>
      <c r="E13">
        <f>IF(C13="","",IF(ISNUMBER(SEARCH(Customer_Profile!$B$8,Installer_Database!H13)),15,IF(OR(AND(Customer_Profile!$B$8="Hospital",ISNUMBER(SEARCH("Commercial",Installer_Database!H13))),AND(Customer_Profile!$B$8="Hotel",ISNUMBER(SEARCH("Commercial",Installer_Database!H13))),AND(Customer_Profile!$B$8="School",ISNUMBER(SEARCH("Commercial",Installer_Database!H13)))),8,0)))</f>
        <v>0</v>
      </c>
      <c r="F13">
        <f>IF(C13="","",IFERROR(IF(VALUE(LEFT(Customer_Profile!$B$19,FIND("-",Customer_Profile!$B$19&amp;"-")-1))&lt;=Installer_Database!J13,15,IF(VALUE(LEFT(Customer_Profile!$B$19,FIND("-",Customer_Profile!$B$19&amp;"-")-1))&lt;=Installer_Database!J13*1.25,10,5)),8))</f>
        <v>5</v>
      </c>
      <c r="G13">
        <f>IF(C13="","",IF(Installer_Database!V13="Excellent",15,IF(Installer_Database!V13="Good",12,IF(Installer_Database!V13="Acceptable",8,IF(Installer_Database!V13="Weak",4,IF(Installer_Database!V13="Unverified",5,5))))))</f>
        <v>5</v>
      </c>
      <c r="H13">
        <f>IF(C13="","",IF(Installer_Database!K13="Strong",10,IF(Installer_Database!K13="Moderate",7,IF(Installer_Database!K13="Basic",4,IF(Installer_Database!K13="No",0,5)))))</f>
        <v>5</v>
      </c>
      <c r="I13">
        <f>IF(C13="","",IF(Installer_Database!W13="Excellent",10,IF(Installer_Database!W13="Good",8,IF(Installer_Database!W13="Acceptable",5,IF(Installer_Database!W13="Weak",2,IF(Installer_Database!W13="Unverified",4,4))))))</f>
        <v>4</v>
      </c>
      <c r="J13">
        <f>IF(C13="","",IF(Installer_Database!S13="Excellent",10,IF(Installer_Database!S13="Good",8,IF(Installer_Database!S13="Acceptable",5,IF(Installer_Database!S13="Weak",2,IF(Installer_Database!S13="Unverified",4,IF(Installer_Database!S13="Strong",10,IF(Installer_Database!S13="Basic",5,4))))))))</f>
        <v>4</v>
      </c>
      <c r="K13">
        <f>IF(C13="","",IF(Installer_Database!T13="Same day",5,IF(Installer_Database!T13="24-48 hours",4,IF(Installer_Database!T13="2-3 days",3,IF(Installer_Database!T13="Slow",1,2)))))</f>
        <v>2</v>
      </c>
      <c r="L13">
        <f>IF(C13="","",IF(Installer_Database!U13=Customer_Profile!$B$12,5,IF(OR(Installer_Database!U13="Mid-range",Customer_Profile!$B$12="Unknown"),3,1)))</f>
        <v>1</v>
      </c>
      <c r="M13" s="47">
        <f t="shared" si="0"/>
        <v>26</v>
      </c>
      <c r="N13" s="47">
        <f>100</f>
        <v>100</v>
      </c>
      <c r="O13" s="35">
        <f t="shared" si="1"/>
        <v>0.26</v>
      </c>
      <c r="P13" t="str">
        <f t="shared" si="2"/>
        <v>Do Not Recommend</v>
      </c>
      <c r="Q13" t="str">
        <f t="shared" si="3"/>
        <v>No</v>
      </c>
      <c r="R13" t="str">
        <f t="shared" si="4"/>
        <v/>
      </c>
      <c r="S13">
        <f>IF(C13="","",Installer_Database!Z13)</f>
        <v>0</v>
      </c>
      <c r="T13">
        <f t="shared" si="5"/>
        <v>7</v>
      </c>
    </row>
    <row r="14" spans="1:20">
      <c r="A14" t="str">
        <f>[1]Installer_Database!A14</f>
        <v>INST-010</v>
      </c>
      <c r="B14">
        <f>Installer_Database!Y14</f>
        <v>0</v>
      </c>
      <c r="C14">
        <f>Installer_Database!B14</f>
        <v>0</v>
      </c>
      <c r="D14">
        <f>IF(C14="","",IF(ISNUMBER(SEARCH(Customer_Profile!$B$11,Installer_Database!G14)),15,IF(ISNUMBER(SEARCH(Customer_Profile!$B$10,Installer_Database!F14)),12,IF(ISNUMBER(SEARCH("National",Installer_Database!F14)),7,0))))</f>
        <v>0</v>
      </c>
      <c r="E14">
        <f>IF(C14="","",IF(ISNUMBER(SEARCH(Customer_Profile!$B$8,Installer_Database!H14)),15,IF(OR(AND(Customer_Profile!$B$8="Hospital",ISNUMBER(SEARCH("Commercial",Installer_Database!H14))),AND(Customer_Profile!$B$8="Hotel",ISNUMBER(SEARCH("Commercial",Installer_Database!H14))),AND(Customer_Profile!$B$8="School",ISNUMBER(SEARCH("Commercial",Installer_Database!H14)))),8,0)))</f>
        <v>0</v>
      </c>
      <c r="F14">
        <f>IF(C14="","",IFERROR(IF(VALUE(LEFT(Customer_Profile!$B$19,FIND("-",Customer_Profile!$B$19&amp;"-")-1))&lt;=Installer_Database!J14,15,IF(VALUE(LEFT(Customer_Profile!$B$19,FIND("-",Customer_Profile!$B$19&amp;"-")-1))&lt;=Installer_Database!J14*1.25,10,5)),8))</f>
        <v>5</v>
      </c>
      <c r="G14">
        <f>IF(C14="","",IF(Installer_Database!V14="Excellent",15,IF(Installer_Database!V14="Good",12,IF(Installer_Database!V14="Acceptable",8,IF(Installer_Database!V14="Weak",4,IF(Installer_Database!V14="Unverified",5,5))))))</f>
        <v>5</v>
      </c>
      <c r="H14">
        <f>IF(C14="","",IF(Installer_Database!K14="Strong",10,IF(Installer_Database!K14="Moderate",7,IF(Installer_Database!K14="Basic",4,IF(Installer_Database!K14="No",0,5)))))</f>
        <v>5</v>
      </c>
      <c r="I14">
        <f>IF(C14="","",IF(Installer_Database!W14="Excellent",10,IF(Installer_Database!W14="Good",8,IF(Installer_Database!W14="Acceptable",5,IF(Installer_Database!W14="Weak",2,IF(Installer_Database!W14="Unverified",4,4))))))</f>
        <v>4</v>
      </c>
      <c r="J14">
        <f>IF(C14="","",IF(Installer_Database!S14="Excellent",10,IF(Installer_Database!S14="Good",8,IF(Installer_Database!S14="Acceptable",5,IF(Installer_Database!S14="Weak",2,IF(Installer_Database!S14="Unverified",4,IF(Installer_Database!S14="Strong",10,IF(Installer_Database!S14="Basic",5,4))))))))</f>
        <v>4</v>
      </c>
      <c r="K14">
        <f>IF(C14="","",IF(Installer_Database!T14="Same day",5,IF(Installer_Database!T14="24-48 hours",4,IF(Installer_Database!T14="2-3 days",3,IF(Installer_Database!T14="Slow",1,2)))))</f>
        <v>2</v>
      </c>
      <c r="L14">
        <f>IF(C14="","",IF(Installer_Database!U14=Customer_Profile!$B$12,5,IF(OR(Installer_Database!U14="Mid-range",Customer_Profile!$B$12="Unknown"),3,1)))</f>
        <v>1</v>
      </c>
      <c r="M14" s="47">
        <f t="shared" si="0"/>
        <v>26</v>
      </c>
      <c r="N14" s="47">
        <f>100</f>
        <v>100</v>
      </c>
      <c r="O14" s="35">
        <f t="shared" si="1"/>
        <v>0.26</v>
      </c>
      <c r="P14" t="str">
        <f t="shared" si="2"/>
        <v>Do Not Recommend</v>
      </c>
      <c r="Q14" t="str">
        <f t="shared" si="3"/>
        <v>No</v>
      </c>
      <c r="R14" t="str">
        <f t="shared" si="4"/>
        <v/>
      </c>
      <c r="S14">
        <f>IF(C14="","",Installer_Database!Z14)</f>
        <v>0</v>
      </c>
      <c r="T14">
        <f t="shared" si="5"/>
        <v>7</v>
      </c>
    </row>
    <row r="15" spans="1:20">
      <c r="A15" t="str">
        <f>[1]Installer_Database!A15</f>
        <v>INST-011</v>
      </c>
      <c r="B15">
        <f>Installer_Database!Y15</f>
        <v>0</v>
      </c>
      <c r="C15">
        <f>Installer_Database!B15</f>
        <v>0</v>
      </c>
      <c r="D15">
        <f>IF(C15="","",IF(ISNUMBER(SEARCH(Customer_Profile!$B$11,Installer_Database!G15)),15,IF(ISNUMBER(SEARCH(Customer_Profile!$B$10,Installer_Database!F15)),12,IF(ISNUMBER(SEARCH("National",Installer_Database!F15)),7,0))))</f>
        <v>0</v>
      </c>
      <c r="E15">
        <f>IF(C15="","",IF(ISNUMBER(SEARCH(Customer_Profile!$B$8,Installer_Database!H15)),15,IF(OR(AND(Customer_Profile!$B$8="Hospital",ISNUMBER(SEARCH("Commercial",Installer_Database!H15))),AND(Customer_Profile!$B$8="Hotel",ISNUMBER(SEARCH("Commercial",Installer_Database!H15))),AND(Customer_Profile!$B$8="School",ISNUMBER(SEARCH("Commercial",Installer_Database!H15)))),8,0)))</f>
        <v>0</v>
      </c>
      <c r="F15">
        <f>IF(C15="","",IFERROR(IF(VALUE(LEFT(Customer_Profile!$B$19,FIND("-",Customer_Profile!$B$19&amp;"-")-1))&lt;=Installer_Database!J15,15,IF(VALUE(LEFT(Customer_Profile!$B$19,FIND("-",Customer_Profile!$B$19&amp;"-")-1))&lt;=Installer_Database!J15*1.25,10,5)),8))</f>
        <v>5</v>
      </c>
      <c r="G15">
        <f>IF(C15="","",IF(Installer_Database!V15="Excellent",15,IF(Installer_Database!V15="Good",12,IF(Installer_Database!V15="Acceptable",8,IF(Installer_Database!V15="Weak",4,IF(Installer_Database!V15="Unverified",5,5))))))</f>
        <v>5</v>
      </c>
      <c r="H15">
        <f>IF(C15="","",IF(Installer_Database!K15="Strong",10,IF(Installer_Database!K15="Moderate",7,IF(Installer_Database!K15="Basic",4,IF(Installer_Database!K15="No",0,5)))))</f>
        <v>5</v>
      </c>
      <c r="I15">
        <f>IF(C15="","",IF(Installer_Database!W15="Excellent",10,IF(Installer_Database!W15="Good",8,IF(Installer_Database!W15="Acceptable",5,IF(Installer_Database!W15="Weak",2,IF(Installer_Database!W15="Unverified",4,4))))))</f>
        <v>4</v>
      </c>
      <c r="J15">
        <f>IF(C15="","",IF(Installer_Database!S15="Excellent",10,IF(Installer_Database!S15="Good",8,IF(Installer_Database!S15="Acceptable",5,IF(Installer_Database!S15="Weak",2,IF(Installer_Database!S15="Unverified",4,IF(Installer_Database!S15="Strong",10,IF(Installer_Database!S15="Basic",5,4))))))))</f>
        <v>4</v>
      </c>
      <c r="K15">
        <f>IF(C15="","",IF(Installer_Database!T15="Same day",5,IF(Installer_Database!T15="24-48 hours",4,IF(Installer_Database!T15="2-3 days",3,IF(Installer_Database!T15="Slow",1,2)))))</f>
        <v>2</v>
      </c>
      <c r="L15">
        <f>IF(C15="","",IF(Installer_Database!U15=Customer_Profile!$B$12,5,IF(OR(Installer_Database!U15="Mid-range",Customer_Profile!$B$12="Unknown"),3,1)))</f>
        <v>1</v>
      </c>
      <c r="M15" s="47">
        <f t="shared" si="0"/>
        <v>26</v>
      </c>
      <c r="N15" s="47">
        <f>100</f>
        <v>100</v>
      </c>
      <c r="O15" s="35">
        <f t="shared" si="1"/>
        <v>0.26</v>
      </c>
      <c r="P15" t="str">
        <f t="shared" si="2"/>
        <v>Do Not Recommend</v>
      </c>
      <c r="Q15" t="str">
        <f t="shared" si="3"/>
        <v>No</v>
      </c>
      <c r="R15" t="str">
        <f t="shared" si="4"/>
        <v/>
      </c>
      <c r="S15">
        <f>IF(C15="","",Installer_Database!Z15)</f>
        <v>0</v>
      </c>
      <c r="T15">
        <f t="shared" si="5"/>
        <v>7</v>
      </c>
    </row>
    <row r="16" spans="1:20">
      <c r="A16" t="str">
        <f>[1]Installer_Database!A16</f>
        <v>INST-012</v>
      </c>
      <c r="B16">
        <f>Installer_Database!Y16</f>
        <v>0</v>
      </c>
      <c r="C16">
        <f>Installer_Database!B16</f>
        <v>0</v>
      </c>
      <c r="D16">
        <f>IF(C16="","",IF(ISNUMBER(SEARCH(Customer_Profile!$B$11,Installer_Database!G16)),15,IF(ISNUMBER(SEARCH(Customer_Profile!$B$10,Installer_Database!F16)),12,IF(ISNUMBER(SEARCH("National",Installer_Database!F16)),7,0))))</f>
        <v>0</v>
      </c>
      <c r="E16">
        <f>IF(C16="","",IF(ISNUMBER(SEARCH(Customer_Profile!$B$8,Installer_Database!H16)),15,IF(OR(AND(Customer_Profile!$B$8="Hospital",ISNUMBER(SEARCH("Commercial",Installer_Database!H16))),AND(Customer_Profile!$B$8="Hotel",ISNUMBER(SEARCH("Commercial",Installer_Database!H16))),AND(Customer_Profile!$B$8="School",ISNUMBER(SEARCH("Commercial",Installer_Database!H16)))),8,0)))</f>
        <v>0</v>
      </c>
      <c r="F16">
        <f>IF(C16="","",IFERROR(IF(VALUE(LEFT(Customer_Profile!$B$19,FIND("-",Customer_Profile!$B$19&amp;"-")-1))&lt;=Installer_Database!J16,15,IF(VALUE(LEFT(Customer_Profile!$B$19,FIND("-",Customer_Profile!$B$19&amp;"-")-1))&lt;=Installer_Database!J16*1.25,10,5)),8))</f>
        <v>5</v>
      </c>
      <c r="G16">
        <f>IF(C16="","",IF(Installer_Database!V16="Excellent",15,IF(Installer_Database!V16="Good",12,IF(Installer_Database!V16="Acceptable",8,IF(Installer_Database!V16="Weak",4,IF(Installer_Database!V16="Unverified",5,5))))))</f>
        <v>5</v>
      </c>
      <c r="H16">
        <f>IF(C16="","",IF(Installer_Database!K16="Strong",10,IF(Installer_Database!K16="Moderate",7,IF(Installer_Database!K16="Basic",4,IF(Installer_Database!K16="No",0,5)))))</f>
        <v>5</v>
      </c>
      <c r="I16">
        <f>IF(C16="","",IF(Installer_Database!W16="Excellent",10,IF(Installer_Database!W16="Good",8,IF(Installer_Database!W16="Acceptable",5,IF(Installer_Database!W16="Weak",2,IF(Installer_Database!W16="Unverified",4,4))))))</f>
        <v>4</v>
      </c>
      <c r="J16">
        <f>IF(C16="","",IF(Installer_Database!S16="Excellent",10,IF(Installer_Database!S16="Good",8,IF(Installer_Database!S16="Acceptable",5,IF(Installer_Database!S16="Weak",2,IF(Installer_Database!S16="Unverified",4,IF(Installer_Database!S16="Strong",10,IF(Installer_Database!S16="Basic",5,4))))))))</f>
        <v>4</v>
      </c>
      <c r="K16">
        <f>IF(C16="","",IF(Installer_Database!T16="Same day",5,IF(Installer_Database!T16="24-48 hours",4,IF(Installer_Database!T16="2-3 days",3,IF(Installer_Database!T16="Slow",1,2)))))</f>
        <v>2</v>
      </c>
      <c r="L16">
        <f>IF(C16="","",IF(Installer_Database!U16=Customer_Profile!$B$12,5,IF(OR(Installer_Database!U16="Mid-range",Customer_Profile!$B$12="Unknown"),3,1)))</f>
        <v>1</v>
      </c>
      <c r="M16" s="47">
        <f t="shared" si="0"/>
        <v>26</v>
      </c>
      <c r="N16" s="47">
        <f>100</f>
        <v>100</v>
      </c>
      <c r="O16" s="35">
        <f t="shared" si="1"/>
        <v>0.26</v>
      </c>
      <c r="P16" t="str">
        <f t="shared" si="2"/>
        <v>Do Not Recommend</v>
      </c>
      <c r="Q16" t="str">
        <f t="shared" si="3"/>
        <v>No</v>
      </c>
      <c r="R16" t="str">
        <f t="shared" si="4"/>
        <v/>
      </c>
      <c r="S16">
        <f>IF(C16="","",Installer_Database!Z16)</f>
        <v>0</v>
      </c>
      <c r="T16">
        <f t="shared" si="5"/>
        <v>7</v>
      </c>
    </row>
    <row r="17" spans="1:20">
      <c r="A17" t="str">
        <f>[1]Installer_Database!A17</f>
        <v>INST-013</v>
      </c>
      <c r="B17">
        <f>Installer_Database!Y17</f>
        <v>0</v>
      </c>
      <c r="C17">
        <f>Installer_Database!B17</f>
        <v>0</v>
      </c>
      <c r="D17">
        <f>IF(C17="","",IF(ISNUMBER(SEARCH(Customer_Profile!$B$11,Installer_Database!G17)),15,IF(ISNUMBER(SEARCH(Customer_Profile!$B$10,Installer_Database!F17)),12,IF(ISNUMBER(SEARCH("National",Installer_Database!F17)),7,0))))</f>
        <v>0</v>
      </c>
      <c r="E17">
        <f>IF(C17="","",IF(ISNUMBER(SEARCH(Customer_Profile!$B$8,Installer_Database!H17)),15,IF(OR(AND(Customer_Profile!$B$8="Hospital",ISNUMBER(SEARCH("Commercial",Installer_Database!H17))),AND(Customer_Profile!$B$8="Hotel",ISNUMBER(SEARCH("Commercial",Installer_Database!H17))),AND(Customer_Profile!$B$8="School",ISNUMBER(SEARCH("Commercial",Installer_Database!H17)))),8,0)))</f>
        <v>0</v>
      </c>
      <c r="F17">
        <f>IF(C17="","",IFERROR(IF(VALUE(LEFT(Customer_Profile!$B$19,FIND("-",Customer_Profile!$B$19&amp;"-")-1))&lt;=Installer_Database!J17,15,IF(VALUE(LEFT(Customer_Profile!$B$19,FIND("-",Customer_Profile!$B$19&amp;"-")-1))&lt;=Installer_Database!J17*1.25,10,5)),8))</f>
        <v>5</v>
      </c>
      <c r="G17">
        <f>IF(C17="","",IF(Installer_Database!V17="Excellent",15,IF(Installer_Database!V17="Good",12,IF(Installer_Database!V17="Acceptable",8,IF(Installer_Database!V17="Weak",4,IF(Installer_Database!V17="Unverified",5,5))))))</f>
        <v>5</v>
      </c>
      <c r="H17">
        <f>IF(C17="","",IF(Installer_Database!K17="Strong",10,IF(Installer_Database!K17="Moderate",7,IF(Installer_Database!K17="Basic",4,IF(Installer_Database!K17="No",0,5)))))</f>
        <v>5</v>
      </c>
      <c r="I17">
        <f>IF(C17="","",IF(Installer_Database!W17="Excellent",10,IF(Installer_Database!W17="Good",8,IF(Installer_Database!W17="Acceptable",5,IF(Installer_Database!W17="Weak",2,IF(Installer_Database!W17="Unverified",4,4))))))</f>
        <v>4</v>
      </c>
      <c r="J17">
        <f>IF(C17="","",IF(Installer_Database!S17="Excellent",10,IF(Installer_Database!S17="Good",8,IF(Installer_Database!S17="Acceptable",5,IF(Installer_Database!S17="Weak",2,IF(Installer_Database!S17="Unverified",4,IF(Installer_Database!S17="Strong",10,IF(Installer_Database!S17="Basic",5,4))))))))</f>
        <v>4</v>
      </c>
      <c r="K17">
        <f>IF(C17="","",IF(Installer_Database!T17="Same day",5,IF(Installer_Database!T17="24-48 hours",4,IF(Installer_Database!T17="2-3 days",3,IF(Installer_Database!T17="Slow",1,2)))))</f>
        <v>2</v>
      </c>
      <c r="L17">
        <f>IF(C17="","",IF(Installer_Database!U17=Customer_Profile!$B$12,5,IF(OR(Installer_Database!U17="Mid-range",Customer_Profile!$B$12="Unknown"),3,1)))</f>
        <v>1</v>
      </c>
      <c r="M17" s="47">
        <f t="shared" si="0"/>
        <v>26</v>
      </c>
      <c r="N17" s="47">
        <f>100</f>
        <v>100</v>
      </c>
      <c r="O17" s="35">
        <f t="shared" si="1"/>
        <v>0.26</v>
      </c>
      <c r="P17" t="str">
        <f t="shared" si="2"/>
        <v>Do Not Recommend</v>
      </c>
      <c r="Q17" t="str">
        <f t="shared" si="3"/>
        <v>No</v>
      </c>
      <c r="R17" t="str">
        <f t="shared" si="4"/>
        <v/>
      </c>
      <c r="S17">
        <f>IF(C17="","",Installer_Database!Z17)</f>
        <v>0</v>
      </c>
      <c r="T17">
        <f t="shared" si="5"/>
        <v>7</v>
      </c>
    </row>
    <row r="18" spans="1:20">
      <c r="A18" t="str">
        <f>[1]Installer_Database!A18</f>
        <v>INST-014</v>
      </c>
      <c r="B18">
        <f>Installer_Database!Y18</f>
        <v>0</v>
      </c>
      <c r="C18">
        <f>Installer_Database!B18</f>
        <v>0</v>
      </c>
      <c r="D18">
        <f>IF(C18="","",IF(ISNUMBER(SEARCH(Customer_Profile!$B$11,Installer_Database!G18)),15,IF(ISNUMBER(SEARCH(Customer_Profile!$B$10,Installer_Database!F18)),12,IF(ISNUMBER(SEARCH("National",Installer_Database!F18)),7,0))))</f>
        <v>0</v>
      </c>
      <c r="E18">
        <f>IF(C18="","",IF(ISNUMBER(SEARCH(Customer_Profile!$B$8,Installer_Database!H18)),15,IF(OR(AND(Customer_Profile!$B$8="Hospital",ISNUMBER(SEARCH("Commercial",Installer_Database!H18))),AND(Customer_Profile!$B$8="Hotel",ISNUMBER(SEARCH("Commercial",Installer_Database!H18))),AND(Customer_Profile!$B$8="School",ISNUMBER(SEARCH("Commercial",Installer_Database!H18)))),8,0)))</f>
        <v>0</v>
      </c>
      <c r="F18">
        <f>IF(C18="","",IFERROR(IF(VALUE(LEFT(Customer_Profile!$B$19,FIND("-",Customer_Profile!$B$19&amp;"-")-1))&lt;=Installer_Database!J18,15,IF(VALUE(LEFT(Customer_Profile!$B$19,FIND("-",Customer_Profile!$B$19&amp;"-")-1))&lt;=Installer_Database!J18*1.25,10,5)),8))</f>
        <v>5</v>
      </c>
      <c r="G18">
        <f>IF(C18="","",IF(Installer_Database!V18="Excellent",15,IF(Installer_Database!V18="Good",12,IF(Installer_Database!V18="Acceptable",8,IF(Installer_Database!V18="Weak",4,IF(Installer_Database!V18="Unverified",5,5))))))</f>
        <v>5</v>
      </c>
      <c r="H18">
        <f>IF(C18="","",IF(Installer_Database!K18="Strong",10,IF(Installer_Database!K18="Moderate",7,IF(Installer_Database!K18="Basic",4,IF(Installer_Database!K18="No",0,5)))))</f>
        <v>5</v>
      </c>
      <c r="I18">
        <f>IF(C18="","",IF(Installer_Database!W18="Excellent",10,IF(Installer_Database!W18="Good",8,IF(Installer_Database!W18="Acceptable",5,IF(Installer_Database!W18="Weak",2,IF(Installer_Database!W18="Unverified",4,4))))))</f>
        <v>4</v>
      </c>
      <c r="J18">
        <f>IF(C18="","",IF(Installer_Database!S18="Excellent",10,IF(Installer_Database!S18="Good",8,IF(Installer_Database!S18="Acceptable",5,IF(Installer_Database!S18="Weak",2,IF(Installer_Database!S18="Unverified",4,IF(Installer_Database!S18="Strong",10,IF(Installer_Database!S18="Basic",5,4))))))))</f>
        <v>4</v>
      </c>
      <c r="K18">
        <f>IF(C18="","",IF(Installer_Database!T18="Same day",5,IF(Installer_Database!T18="24-48 hours",4,IF(Installer_Database!T18="2-3 days",3,IF(Installer_Database!T18="Slow",1,2)))))</f>
        <v>2</v>
      </c>
      <c r="L18">
        <f>IF(C18="","",IF(Installer_Database!U18=Customer_Profile!$B$12,5,IF(OR(Installer_Database!U18="Mid-range",Customer_Profile!$B$12="Unknown"),3,1)))</f>
        <v>1</v>
      </c>
      <c r="M18" s="47">
        <f t="shared" si="0"/>
        <v>26</v>
      </c>
      <c r="N18" s="47">
        <f>100</f>
        <v>100</v>
      </c>
      <c r="O18" s="35">
        <f t="shared" si="1"/>
        <v>0.26</v>
      </c>
      <c r="P18" t="str">
        <f t="shared" si="2"/>
        <v>Do Not Recommend</v>
      </c>
      <c r="Q18" t="str">
        <f t="shared" si="3"/>
        <v>No</v>
      </c>
      <c r="R18" t="str">
        <f t="shared" si="4"/>
        <v/>
      </c>
      <c r="S18">
        <f>IF(C18="","",Installer_Database!Z18)</f>
        <v>0</v>
      </c>
      <c r="T18">
        <f t="shared" si="5"/>
        <v>7</v>
      </c>
    </row>
    <row r="19" spans="1:20">
      <c r="A19" t="str">
        <f>[1]Installer_Database!A19</f>
        <v>INST-015</v>
      </c>
      <c r="B19">
        <f>Installer_Database!Y19</f>
        <v>0</v>
      </c>
      <c r="C19">
        <f>Installer_Database!B19</f>
        <v>0</v>
      </c>
      <c r="D19">
        <f>IF(C19="","",IF(ISNUMBER(SEARCH(Customer_Profile!$B$11,Installer_Database!G19)),15,IF(ISNUMBER(SEARCH(Customer_Profile!$B$10,Installer_Database!F19)),12,IF(ISNUMBER(SEARCH("National",Installer_Database!F19)),7,0))))</f>
        <v>0</v>
      </c>
      <c r="E19">
        <f>IF(C19="","",IF(ISNUMBER(SEARCH(Customer_Profile!$B$8,Installer_Database!H19)),15,IF(OR(AND(Customer_Profile!$B$8="Hospital",ISNUMBER(SEARCH("Commercial",Installer_Database!H19))),AND(Customer_Profile!$B$8="Hotel",ISNUMBER(SEARCH("Commercial",Installer_Database!H19))),AND(Customer_Profile!$B$8="School",ISNUMBER(SEARCH("Commercial",Installer_Database!H19)))),8,0)))</f>
        <v>0</v>
      </c>
      <c r="F19">
        <f>IF(C19="","",IFERROR(IF(VALUE(LEFT(Customer_Profile!$B$19,FIND("-",Customer_Profile!$B$19&amp;"-")-1))&lt;=Installer_Database!J19,15,IF(VALUE(LEFT(Customer_Profile!$B$19,FIND("-",Customer_Profile!$B$19&amp;"-")-1))&lt;=Installer_Database!J19*1.25,10,5)),8))</f>
        <v>5</v>
      </c>
      <c r="G19">
        <f>IF(C19="","",IF(Installer_Database!V19="Excellent",15,IF(Installer_Database!V19="Good",12,IF(Installer_Database!V19="Acceptable",8,IF(Installer_Database!V19="Weak",4,IF(Installer_Database!V19="Unverified",5,5))))))</f>
        <v>5</v>
      </c>
      <c r="H19">
        <f>IF(C19="","",IF(Installer_Database!K19="Strong",10,IF(Installer_Database!K19="Moderate",7,IF(Installer_Database!K19="Basic",4,IF(Installer_Database!K19="No",0,5)))))</f>
        <v>5</v>
      </c>
      <c r="I19">
        <f>IF(C19="","",IF(Installer_Database!W19="Excellent",10,IF(Installer_Database!W19="Good",8,IF(Installer_Database!W19="Acceptable",5,IF(Installer_Database!W19="Weak",2,IF(Installer_Database!W19="Unverified",4,4))))))</f>
        <v>4</v>
      </c>
      <c r="J19">
        <f>IF(C19="","",IF(Installer_Database!S19="Excellent",10,IF(Installer_Database!S19="Good",8,IF(Installer_Database!S19="Acceptable",5,IF(Installer_Database!S19="Weak",2,IF(Installer_Database!S19="Unverified",4,IF(Installer_Database!S19="Strong",10,IF(Installer_Database!S19="Basic",5,4))))))))</f>
        <v>4</v>
      </c>
      <c r="K19">
        <f>IF(C19="","",IF(Installer_Database!T19="Same day",5,IF(Installer_Database!T19="24-48 hours",4,IF(Installer_Database!T19="2-3 days",3,IF(Installer_Database!T19="Slow",1,2)))))</f>
        <v>2</v>
      </c>
      <c r="L19">
        <f>IF(C19="","",IF(Installer_Database!U19=Customer_Profile!$B$12,5,IF(OR(Installer_Database!U19="Mid-range",Customer_Profile!$B$12="Unknown"),3,1)))</f>
        <v>1</v>
      </c>
      <c r="M19" s="47">
        <f t="shared" si="0"/>
        <v>26</v>
      </c>
      <c r="N19" s="47">
        <f>100</f>
        <v>100</v>
      </c>
      <c r="O19" s="35">
        <f t="shared" si="1"/>
        <v>0.26</v>
      </c>
      <c r="P19" t="str">
        <f t="shared" si="2"/>
        <v>Do Not Recommend</v>
      </c>
      <c r="Q19" t="str">
        <f t="shared" si="3"/>
        <v>No</v>
      </c>
      <c r="R19" t="str">
        <f t="shared" si="4"/>
        <v/>
      </c>
      <c r="S19">
        <f>IF(C19="","",Installer_Database!Z19)</f>
        <v>0</v>
      </c>
      <c r="T19">
        <f t="shared" si="5"/>
        <v>7</v>
      </c>
    </row>
    <row r="20" spans="1:20">
      <c r="A20" t="str">
        <f>[1]Installer_Database!A20</f>
        <v>INST-016</v>
      </c>
      <c r="B20">
        <f>Installer_Database!Y20</f>
        <v>0</v>
      </c>
      <c r="C20">
        <f>Installer_Database!B20</f>
        <v>0</v>
      </c>
      <c r="D20">
        <f>IF(C20="","",IF(ISNUMBER(SEARCH(Customer_Profile!$B$11,Installer_Database!G20)),15,IF(ISNUMBER(SEARCH(Customer_Profile!$B$10,Installer_Database!F20)),12,IF(ISNUMBER(SEARCH("National",Installer_Database!F20)),7,0))))</f>
        <v>0</v>
      </c>
      <c r="E20">
        <f>IF(C20="","",IF(ISNUMBER(SEARCH(Customer_Profile!$B$8,Installer_Database!H20)),15,IF(OR(AND(Customer_Profile!$B$8="Hospital",ISNUMBER(SEARCH("Commercial",Installer_Database!H20))),AND(Customer_Profile!$B$8="Hotel",ISNUMBER(SEARCH("Commercial",Installer_Database!H20))),AND(Customer_Profile!$B$8="School",ISNUMBER(SEARCH("Commercial",Installer_Database!H20)))),8,0)))</f>
        <v>0</v>
      </c>
      <c r="F20">
        <f>IF(C20="","",IFERROR(IF(VALUE(LEFT(Customer_Profile!$B$19,FIND("-",Customer_Profile!$B$19&amp;"-")-1))&lt;=Installer_Database!J20,15,IF(VALUE(LEFT(Customer_Profile!$B$19,FIND("-",Customer_Profile!$B$19&amp;"-")-1))&lt;=Installer_Database!J20*1.25,10,5)),8))</f>
        <v>5</v>
      </c>
      <c r="G20">
        <f>IF(C20="","",IF(Installer_Database!V20="Excellent",15,IF(Installer_Database!V20="Good",12,IF(Installer_Database!V20="Acceptable",8,IF(Installer_Database!V20="Weak",4,IF(Installer_Database!V20="Unverified",5,5))))))</f>
        <v>5</v>
      </c>
      <c r="H20">
        <f>IF(C20="","",IF(Installer_Database!K20="Strong",10,IF(Installer_Database!K20="Moderate",7,IF(Installer_Database!K20="Basic",4,IF(Installer_Database!K20="No",0,5)))))</f>
        <v>5</v>
      </c>
      <c r="I20">
        <f>IF(C20="","",IF(Installer_Database!W20="Excellent",10,IF(Installer_Database!W20="Good",8,IF(Installer_Database!W20="Acceptable",5,IF(Installer_Database!W20="Weak",2,IF(Installer_Database!W20="Unverified",4,4))))))</f>
        <v>4</v>
      </c>
      <c r="J20">
        <f>IF(C20="","",IF(Installer_Database!S20="Excellent",10,IF(Installer_Database!S20="Good",8,IF(Installer_Database!S20="Acceptable",5,IF(Installer_Database!S20="Weak",2,IF(Installer_Database!S20="Unverified",4,IF(Installer_Database!S20="Strong",10,IF(Installer_Database!S20="Basic",5,4))))))))</f>
        <v>4</v>
      </c>
      <c r="K20">
        <f>IF(C20="","",IF(Installer_Database!T20="Same day",5,IF(Installer_Database!T20="24-48 hours",4,IF(Installer_Database!T20="2-3 days",3,IF(Installer_Database!T20="Slow",1,2)))))</f>
        <v>2</v>
      </c>
      <c r="L20">
        <f>IF(C20="","",IF(Installer_Database!U20=Customer_Profile!$B$12,5,IF(OR(Installer_Database!U20="Mid-range",Customer_Profile!$B$12="Unknown"),3,1)))</f>
        <v>1</v>
      </c>
      <c r="M20" s="47">
        <f t="shared" si="0"/>
        <v>26</v>
      </c>
      <c r="N20" s="47">
        <f>100</f>
        <v>100</v>
      </c>
      <c r="O20" s="35">
        <f t="shared" si="1"/>
        <v>0.26</v>
      </c>
      <c r="P20" t="str">
        <f t="shared" si="2"/>
        <v>Do Not Recommend</v>
      </c>
      <c r="Q20" t="str">
        <f t="shared" si="3"/>
        <v>No</v>
      </c>
      <c r="R20" t="str">
        <f t="shared" si="4"/>
        <v/>
      </c>
      <c r="S20">
        <f>IF(C20="","",Installer_Database!Z20)</f>
        <v>0</v>
      </c>
      <c r="T20">
        <f t="shared" si="5"/>
        <v>7</v>
      </c>
    </row>
    <row r="21" spans="1:20">
      <c r="A21" t="str">
        <f>[1]Installer_Database!A21</f>
        <v>INST-017</v>
      </c>
      <c r="B21">
        <f>Installer_Database!Y21</f>
        <v>0</v>
      </c>
      <c r="C21">
        <f>Installer_Database!B21</f>
        <v>0</v>
      </c>
      <c r="D21">
        <f>IF(C21="","",IF(ISNUMBER(SEARCH(Customer_Profile!$B$11,Installer_Database!G21)),15,IF(ISNUMBER(SEARCH(Customer_Profile!$B$10,Installer_Database!F21)),12,IF(ISNUMBER(SEARCH("National",Installer_Database!F21)),7,0))))</f>
        <v>0</v>
      </c>
      <c r="E21">
        <f>IF(C21="","",IF(ISNUMBER(SEARCH(Customer_Profile!$B$8,Installer_Database!H21)),15,IF(OR(AND(Customer_Profile!$B$8="Hospital",ISNUMBER(SEARCH("Commercial",Installer_Database!H21))),AND(Customer_Profile!$B$8="Hotel",ISNUMBER(SEARCH("Commercial",Installer_Database!H21))),AND(Customer_Profile!$B$8="School",ISNUMBER(SEARCH("Commercial",Installer_Database!H21)))),8,0)))</f>
        <v>0</v>
      </c>
      <c r="F21">
        <f>IF(C21="","",IFERROR(IF(VALUE(LEFT(Customer_Profile!$B$19,FIND("-",Customer_Profile!$B$19&amp;"-")-1))&lt;=Installer_Database!J21,15,IF(VALUE(LEFT(Customer_Profile!$B$19,FIND("-",Customer_Profile!$B$19&amp;"-")-1))&lt;=Installer_Database!J21*1.25,10,5)),8))</f>
        <v>5</v>
      </c>
      <c r="G21">
        <f>IF(C21="","",IF(Installer_Database!V21="Excellent",15,IF(Installer_Database!V21="Good",12,IF(Installer_Database!V21="Acceptable",8,IF(Installer_Database!V21="Weak",4,IF(Installer_Database!V21="Unverified",5,5))))))</f>
        <v>5</v>
      </c>
      <c r="H21">
        <f>IF(C21="","",IF(Installer_Database!K21="Strong",10,IF(Installer_Database!K21="Moderate",7,IF(Installer_Database!K21="Basic",4,IF(Installer_Database!K21="No",0,5)))))</f>
        <v>5</v>
      </c>
      <c r="I21">
        <f>IF(C21="","",IF(Installer_Database!W21="Excellent",10,IF(Installer_Database!W21="Good",8,IF(Installer_Database!W21="Acceptable",5,IF(Installer_Database!W21="Weak",2,IF(Installer_Database!W21="Unverified",4,4))))))</f>
        <v>4</v>
      </c>
      <c r="J21">
        <f>IF(C21="","",IF(Installer_Database!S21="Excellent",10,IF(Installer_Database!S21="Good",8,IF(Installer_Database!S21="Acceptable",5,IF(Installer_Database!S21="Weak",2,IF(Installer_Database!S21="Unverified",4,IF(Installer_Database!S21="Strong",10,IF(Installer_Database!S21="Basic",5,4))))))))</f>
        <v>4</v>
      </c>
      <c r="K21">
        <f>IF(C21="","",IF(Installer_Database!T21="Same day",5,IF(Installer_Database!T21="24-48 hours",4,IF(Installer_Database!T21="2-3 days",3,IF(Installer_Database!T21="Slow",1,2)))))</f>
        <v>2</v>
      </c>
      <c r="L21">
        <f>IF(C21="","",IF(Installer_Database!U21=Customer_Profile!$B$12,5,IF(OR(Installer_Database!U21="Mid-range",Customer_Profile!$B$12="Unknown"),3,1)))</f>
        <v>1</v>
      </c>
      <c r="M21" s="47">
        <f t="shared" si="0"/>
        <v>26</v>
      </c>
      <c r="N21" s="47">
        <f>100</f>
        <v>100</v>
      </c>
      <c r="O21" s="35">
        <f t="shared" si="1"/>
        <v>0.26</v>
      </c>
      <c r="P21" t="str">
        <f t="shared" si="2"/>
        <v>Do Not Recommend</v>
      </c>
      <c r="Q21" t="str">
        <f t="shared" si="3"/>
        <v>No</v>
      </c>
      <c r="R21" t="str">
        <f t="shared" si="4"/>
        <v/>
      </c>
      <c r="S21">
        <f>IF(C21="","",Installer_Database!Z21)</f>
        <v>0</v>
      </c>
      <c r="T21">
        <f t="shared" si="5"/>
        <v>7</v>
      </c>
    </row>
    <row r="22" spans="1:20">
      <c r="A22" t="str">
        <f>[1]Installer_Database!A22</f>
        <v>INST-018</v>
      </c>
      <c r="B22">
        <f>Installer_Database!Y22</f>
        <v>0</v>
      </c>
      <c r="C22">
        <f>Installer_Database!B22</f>
        <v>0</v>
      </c>
      <c r="D22">
        <f>IF(C22="","",IF(ISNUMBER(SEARCH(Customer_Profile!$B$11,Installer_Database!G22)),15,IF(ISNUMBER(SEARCH(Customer_Profile!$B$10,Installer_Database!F22)),12,IF(ISNUMBER(SEARCH("National",Installer_Database!F22)),7,0))))</f>
        <v>0</v>
      </c>
      <c r="E22">
        <f>IF(C22="","",IF(ISNUMBER(SEARCH(Customer_Profile!$B$8,Installer_Database!H22)),15,IF(OR(AND(Customer_Profile!$B$8="Hospital",ISNUMBER(SEARCH("Commercial",Installer_Database!H22))),AND(Customer_Profile!$B$8="Hotel",ISNUMBER(SEARCH("Commercial",Installer_Database!H22))),AND(Customer_Profile!$B$8="School",ISNUMBER(SEARCH("Commercial",Installer_Database!H22)))),8,0)))</f>
        <v>0</v>
      </c>
      <c r="F22">
        <f>IF(C22="","",IFERROR(IF(VALUE(LEFT(Customer_Profile!$B$19,FIND("-",Customer_Profile!$B$19&amp;"-")-1))&lt;=Installer_Database!J22,15,IF(VALUE(LEFT(Customer_Profile!$B$19,FIND("-",Customer_Profile!$B$19&amp;"-")-1))&lt;=Installer_Database!J22*1.25,10,5)),8))</f>
        <v>5</v>
      </c>
      <c r="G22">
        <f>IF(C22="","",IF(Installer_Database!V22="Excellent",15,IF(Installer_Database!V22="Good",12,IF(Installer_Database!V22="Acceptable",8,IF(Installer_Database!V22="Weak",4,IF(Installer_Database!V22="Unverified",5,5))))))</f>
        <v>5</v>
      </c>
      <c r="H22">
        <f>IF(C22="","",IF(Installer_Database!K22="Strong",10,IF(Installer_Database!K22="Moderate",7,IF(Installer_Database!K22="Basic",4,IF(Installer_Database!K22="No",0,5)))))</f>
        <v>5</v>
      </c>
      <c r="I22">
        <f>IF(C22="","",IF(Installer_Database!W22="Excellent",10,IF(Installer_Database!W22="Good",8,IF(Installer_Database!W22="Acceptable",5,IF(Installer_Database!W22="Weak",2,IF(Installer_Database!W22="Unverified",4,4))))))</f>
        <v>4</v>
      </c>
      <c r="J22">
        <f>IF(C22="","",IF(Installer_Database!S22="Excellent",10,IF(Installer_Database!S22="Good",8,IF(Installer_Database!S22="Acceptable",5,IF(Installer_Database!S22="Weak",2,IF(Installer_Database!S22="Unverified",4,IF(Installer_Database!S22="Strong",10,IF(Installer_Database!S22="Basic",5,4))))))))</f>
        <v>4</v>
      </c>
      <c r="K22">
        <f>IF(C22="","",IF(Installer_Database!T22="Same day",5,IF(Installer_Database!T22="24-48 hours",4,IF(Installer_Database!T22="2-3 days",3,IF(Installer_Database!T22="Slow",1,2)))))</f>
        <v>2</v>
      </c>
      <c r="L22">
        <f>IF(C22="","",IF(Installer_Database!U22=Customer_Profile!$B$12,5,IF(OR(Installer_Database!U22="Mid-range",Customer_Profile!$B$12="Unknown"),3,1)))</f>
        <v>1</v>
      </c>
      <c r="M22" s="47">
        <f t="shared" si="0"/>
        <v>26</v>
      </c>
      <c r="N22" s="47">
        <f>100</f>
        <v>100</v>
      </c>
      <c r="O22" s="35">
        <f t="shared" si="1"/>
        <v>0.26</v>
      </c>
      <c r="P22" t="str">
        <f t="shared" si="2"/>
        <v>Do Not Recommend</v>
      </c>
      <c r="Q22" t="str">
        <f t="shared" si="3"/>
        <v>No</v>
      </c>
      <c r="R22" t="str">
        <f t="shared" si="4"/>
        <v/>
      </c>
      <c r="S22">
        <f>IF(C22="","",Installer_Database!Z22)</f>
        <v>0</v>
      </c>
      <c r="T22">
        <f t="shared" si="5"/>
        <v>7</v>
      </c>
    </row>
    <row r="23" spans="1:20">
      <c r="A23" t="str">
        <f>[1]Installer_Database!A23</f>
        <v>INST-019</v>
      </c>
      <c r="B23">
        <f>Installer_Database!Y23</f>
        <v>0</v>
      </c>
      <c r="C23">
        <f>Installer_Database!B23</f>
        <v>0</v>
      </c>
      <c r="D23">
        <f>IF(C23="","",IF(ISNUMBER(SEARCH(Customer_Profile!$B$11,Installer_Database!G23)),15,IF(ISNUMBER(SEARCH(Customer_Profile!$B$10,Installer_Database!F23)),12,IF(ISNUMBER(SEARCH("National",Installer_Database!F23)),7,0))))</f>
        <v>0</v>
      </c>
      <c r="E23">
        <f>IF(C23="","",IF(ISNUMBER(SEARCH(Customer_Profile!$B$8,Installer_Database!H23)),15,IF(OR(AND(Customer_Profile!$B$8="Hospital",ISNUMBER(SEARCH("Commercial",Installer_Database!H23))),AND(Customer_Profile!$B$8="Hotel",ISNUMBER(SEARCH("Commercial",Installer_Database!H23))),AND(Customer_Profile!$B$8="School",ISNUMBER(SEARCH("Commercial",Installer_Database!H23)))),8,0)))</f>
        <v>0</v>
      </c>
      <c r="F23">
        <f>IF(C23="","",IFERROR(IF(VALUE(LEFT(Customer_Profile!$B$19,FIND("-",Customer_Profile!$B$19&amp;"-")-1))&lt;=Installer_Database!J23,15,IF(VALUE(LEFT(Customer_Profile!$B$19,FIND("-",Customer_Profile!$B$19&amp;"-")-1))&lt;=Installer_Database!J23*1.25,10,5)),8))</f>
        <v>5</v>
      </c>
      <c r="G23">
        <f>IF(C23="","",IF(Installer_Database!V23="Excellent",15,IF(Installer_Database!V23="Good",12,IF(Installer_Database!V23="Acceptable",8,IF(Installer_Database!V23="Weak",4,IF(Installer_Database!V23="Unverified",5,5))))))</f>
        <v>5</v>
      </c>
      <c r="H23">
        <f>IF(C23="","",IF(Installer_Database!K23="Strong",10,IF(Installer_Database!K23="Moderate",7,IF(Installer_Database!K23="Basic",4,IF(Installer_Database!K23="No",0,5)))))</f>
        <v>5</v>
      </c>
      <c r="I23">
        <f>IF(C23="","",IF(Installer_Database!W23="Excellent",10,IF(Installer_Database!W23="Good",8,IF(Installer_Database!W23="Acceptable",5,IF(Installer_Database!W23="Weak",2,IF(Installer_Database!W23="Unverified",4,4))))))</f>
        <v>4</v>
      </c>
      <c r="J23">
        <f>IF(C23="","",IF(Installer_Database!S23="Excellent",10,IF(Installer_Database!S23="Good",8,IF(Installer_Database!S23="Acceptable",5,IF(Installer_Database!S23="Weak",2,IF(Installer_Database!S23="Unverified",4,IF(Installer_Database!S23="Strong",10,IF(Installer_Database!S23="Basic",5,4))))))))</f>
        <v>4</v>
      </c>
      <c r="K23">
        <f>IF(C23="","",IF(Installer_Database!T23="Same day",5,IF(Installer_Database!T23="24-48 hours",4,IF(Installer_Database!T23="2-3 days",3,IF(Installer_Database!T23="Slow",1,2)))))</f>
        <v>2</v>
      </c>
      <c r="L23">
        <f>IF(C23="","",IF(Installer_Database!U23=Customer_Profile!$B$12,5,IF(OR(Installer_Database!U23="Mid-range",Customer_Profile!$B$12="Unknown"),3,1)))</f>
        <v>1</v>
      </c>
      <c r="M23" s="47">
        <f t="shared" si="0"/>
        <v>26</v>
      </c>
      <c r="N23" s="47">
        <f>100</f>
        <v>100</v>
      </c>
      <c r="O23" s="35">
        <f t="shared" si="1"/>
        <v>0.26</v>
      </c>
      <c r="P23" t="str">
        <f t="shared" si="2"/>
        <v>Do Not Recommend</v>
      </c>
      <c r="Q23" t="str">
        <f t="shared" si="3"/>
        <v>No</v>
      </c>
      <c r="R23" t="str">
        <f t="shared" si="4"/>
        <v/>
      </c>
      <c r="S23">
        <f>IF(C23="","",Installer_Database!Z23)</f>
        <v>0</v>
      </c>
      <c r="T23">
        <f t="shared" si="5"/>
        <v>7</v>
      </c>
    </row>
    <row r="24" spans="1:20">
      <c r="A24" t="str">
        <f>[1]Installer_Database!A24</f>
        <v>INST-020</v>
      </c>
      <c r="B24">
        <f>Installer_Database!Y24</f>
        <v>0</v>
      </c>
      <c r="C24">
        <f>Installer_Database!B24</f>
        <v>0</v>
      </c>
      <c r="D24">
        <f>IF(C24="","",IF(ISNUMBER(SEARCH(Customer_Profile!$B$11,Installer_Database!G24)),15,IF(ISNUMBER(SEARCH(Customer_Profile!$B$10,Installer_Database!F24)),12,IF(ISNUMBER(SEARCH("National",Installer_Database!F24)),7,0))))</f>
        <v>0</v>
      </c>
      <c r="E24">
        <f>IF(C24="","",IF(ISNUMBER(SEARCH(Customer_Profile!$B$8,Installer_Database!H24)),15,IF(OR(AND(Customer_Profile!$B$8="Hospital",ISNUMBER(SEARCH("Commercial",Installer_Database!H24))),AND(Customer_Profile!$B$8="Hotel",ISNUMBER(SEARCH("Commercial",Installer_Database!H24))),AND(Customer_Profile!$B$8="School",ISNUMBER(SEARCH("Commercial",Installer_Database!H24)))),8,0)))</f>
        <v>0</v>
      </c>
      <c r="F24">
        <f>IF(C24="","",IFERROR(IF(VALUE(LEFT(Customer_Profile!$B$19,FIND("-",Customer_Profile!$B$19&amp;"-")-1))&lt;=Installer_Database!J24,15,IF(VALUE(LEFT(Customer_Profile!$B$19,FIND("-",Customer_Profile!$B$19&amp;"-")-1))&lt;=Installer_Database!J24*1.25,10,5)),8))</f>
        <v>5</v>
      </c>
      <c r="G24">
        <f>IF(C24="","",IF(Installer_Database!V24="Excellent",15,IF(Installer_Database!V24="Good",12,IF(Installer_Database!V24="Acceptable",8,IF(Installer_Database!V24="Weak",4,IF(Installer_Database!V24="Unverified",5,5))))))</f>
        <v>5</v>
      </c>
      <c r="H24">
        <f>IF(C24="","",IF(Installer_Database!K24="Strong",10,IF(Installer_Database!K24="Moderate",7,IF(Installer_Database!K24="Basic",4,IF(Installer_Database!K24="No",0,5)))))</f>
        <v>5</v>
      </c>
      <c r="I24">
        <f>IF(C24="","",IF(Installer_Database!W24="Excellent",10,IF(Installer_Database!W24="Good",8,IF(Installer_Database!W24="Acceptable",5,IF(Installer_Database!W24="Weak",2,IF(Installer_Database!W24="Unverified",4,4))))))</f>
        <v>4</v>
      </c>
      <c r="J24">
        <f>IF(C24="","",IF(Installer_Database!S24="Excellent",10,IF(Installer_Database!S24="Good",8,IF(Installer_Database!S24="Acceptable",5,IF(Installer_Database!S24="Weak",2,IF(Installer_Database!S24="Unverified",4,IF(Installer_Database!S24="Strong",10,IF(Installer_Database!S24="Basic",5,4))))))))</f>
        <v>4</v>
      </c>
      <c r="K24">
        <f>IF(C24="","",IF(Installer_Database!T24="Same day",5,IF(Installer_Database!T24="24-48 hours",4,IF(Installer_Database!T24="2-3 days",3,IF(Installer_Database!T24="Slow",1,2)))))</f>
        <v>2</v>
      </c>
      <c r="L24">
        <f>IF(C24="","",IF(Installer_Database!U24=Customer_Profile!$B$12,5,IF(OR(Installer_Database!U24="Mid-range",Customer_Profile!$B$12="Unknown"),3,1)))</f>
        <v>1</v>
      </c>
      <c r="M24" s="47">
        <f t="shared" si="0"/>
        <v>26</v>
      </c>
      <c r="N24" s="47">
        <f>100</f>
        <v>100</v>
      </c>
      <c r="O24" s="35">
        <f t="shared" si="1"/>
        <v>0.26</v>
      </c>
      <c r="P24" t="str">
        <f t="shared" si="2"/>
        <v>Do Not Recommend</v>
      </c>
      <c r="Q24" t="str">
        <f t="shared" si="3"/>
        <v>No</v>
      </c>
      <c r="R24" t="str">
        <f t="shared" si="4"/>
        <v/>
      </c>
      <c r="S24">
        <f>IF(C24="","",Installer_Database!Z24)</f>
        <v>0</v>
      </c>
      <c r="T24">
        <f t="shared" si="5"/>
        <v>7</v>
      </c>
    </row>
    <row r="25" spans="1:20">
      <c r="A25" t="str">
        <f>[1]Installer_Database!A25</f>
        <v>INST-021</v>
      </c>
      <c r="B25">
        <f>Installer_Database!Y25</f>
        <v>0</v>
      </c>
      <c r="C25">
        <f>Installer_Database!B25</f>
        <v>0</v>
      </c>
      <c r="D25">
        <f>IF(C25="","",IF(ISNUMBER(SEARCH(Customer_Profile!$B$11,Installer_Database!G25)),15,IF(ISNUMBER(SEARCH(Customer_Profile!$B$10,Installer_Database!F25)),12,IF(ISNUMBER(SEARCH("National",Installer_Database!F25)),7,0))))</f>
        <v>0</v>
      </c>
      <c r="E25">
        <f>IF(C25="","",IF(ISNUMBER(SEARCH(Customer_Profile!$B$8,Installer_Database!H25)),15,IF(OR(AND(Customer_Profile!$B$8="Hospital",ISNUMBER(SEARCH("Commercial",Installer_Database!H25))),AND(Customer_Profile!$B$8="Hotel",ISNUMBER(SEARCH("Commercial",Installer_Database!H25))),AND(Customer_Profile!$B$8="School",ISNUMBER(SEARCH("Commercial",Installer_Database!H25)))),8,0)))</f>
        <v>0</v>
      </c>
      <c r="F25">
        <f>IF(C25="","",IFERROR(IF(VALUE(LEFT(Customer_Profile!$B$19,FIND("-",Customer_Profile!$B$19&amp;"-")-1))&lt;=Installer_Database!J25,15,IF(VALUE(LEFT(Customer_Profile!$B$19,FIND("-",Customer_Profile!$B$19&amp;"-")-1))&lt;=Installer_Database!J25*1.25,10,5)),8))</f>
        <v>5</v>
      </c>
      <c r="G25">
        <f>IF(C25="","",IF(Installer_Database!V25="Excellent",15,IF(Installer_Database!V25="Good",12,IF(Installer_Database!V25="Acceptable",8,IF(Installer_Database!V25="Weak",4,IF(Installer_Database!V25="Unverified",5,5))))))</f>
        <v>5</v>
      </c>
      <c r="H25">
        <f>IF(C25="","",IF(Installer_Database!K25="Strong",10,IF(Installer_Database!K25="Moderate",7,IF(Installer_Database!K25="Basic",4,IF(Installer_Database!K25="No",0,5)))))</f>
        <v>5</v>
      </c>
      <c r="I25">
        <f>IF(C25="","",IF(Installer_Database!W25="Excellent",10,IF(Installer_Database!W25="Good",8,IF(Installer_Database!W25="Acceptable",5,IF(Installer_Database!W25="Weak",2,IF(Installer_Database!W25="Unverified",4,4))))))</f>
        <v>4</v>
      </c>
      <c r="J25">
        <f>IF(C25="","",IF(Installer_Database!S25="Excellent",10,IF(Installer_Database!S25="Good",8,IF(Installer_Database!S25="Acceptable",5,IF(Installer_Database!S25="Weak",2,IF(Installer_Database!S25="Unverified",4,IF(Installer_Database!S25="Strong",10,IF(Installer_Database!S25="Basic",5,4))))))))</f>
        <v>4</v>
      </c>
      <c r="K25">
        <f>IF(C25="","",IF(Installer_Database!T25="Same day",5,IF(Installer_Database!T25="24-48 hours",4,IF(Installer_Database!T25="2-3 days",3,IF(Installer_Database!T25="Slow",1,2)))))</f>
        <v>2</v>
      </c>
      <c r="L25">
        <f>IF(C25="","",IF(Installer_Database!U25=Customer_Profile!$B$12,5,IF(OR(Installer_Database!U25="Mid-range",Customer_Profile!$B$12="Unknown"),3,1)))</f>
        <v>1</v>
      </c>
      <c r="M25" s="47">
        <f t="shared" si="0"/>
        <v>26</v>
      </c>
      <c r="N25" s="47">
        <f>100</f>
        <v>100</v>
      </c>
      <c r="O25" s="35">
        <f t="shared" si="1"/>
        <v>0.26</v>
      </c>
      <c r="P25" t="str">
        <f t="shared" si="2"/>
        <v>Do Not Recommend</v>
      </c>
      <c r="Q25" t="str">
        <f t="shared" si="3"/>
        <v>No</v>
      </c>
      <c r="R25" t="str">
        <f t="shared" si="4"/>
        <v/>
      </c>
      <c r="S25">
        <f>IF(C25="","",Installer_Database!Z25)</f>
        <v>0</v>
      </c>
      <c r="T25">
        <f t="shared" si="5"/>
        <v>7</v>
      </c>
    </row>
    <row r="26" spans="1:20">
      <c r="A26" t="str">
        <f>[1]Installer_Database!A26</f>
        <v>INST-022</v>
      </c>
      <c r="B26">
        <f>Installer_Database!Y26</f>
        <v>0</v>
      </c>
      <c r="C26">
        <f>Installer_Database!B26</f>
        <v>0</v>
      </c>
      <c r="D26">
        <f>IF(C26="","",IF(ISNUMBER(SEARCH(Customer_Profile!$B$11,Installer_Database!G26)),15,IF(ISNUMBER(SEARCH(Customer_Profile!$B$10,Installer_Database!F26)),12,IF(ISNUMBER(SEARCH("National",Installer_Database!F26)),7,0))))</f>
        <v>0</v>
      </c>
      <c r="E26">
        <f>IF(C26="","",IF(ISNUMBER(SEARCH(Customer_Profile!$B$8,Installer_Database!H26)),15,IF(OR(AND(Customer_Profile!$B$8="Hospital",ISNUMBER(SEARCH("Commercial",Installer_Database!H26))),AND(Customer_Profile!$B$8="Hotel",ISNUMBER(SEARCH("Commercial",Installer_Database!H26))),AND(Customer_Profile!$B$8="School",ISNUMBER(SEARCH("Commercial",Installer_Database!H26)))),8,0)))</f>
        <v>0</v>
      </c>
      <c r="F26">
        <f>IF(C26="","",IFERROR(IF(VALUE(LEFT(Customer_Profile!$B$19,FIND("-",Customer_Profile!$B$19&amp;"-")-1))&lt;=Installer_Database!J26,15,IF(VALUE(LEFT(Customer_Profile!$B$19,FIND("-",Customer_Profile!$B$19&amp;"-")-1))&lt;=Installer_Database!J26*1.25,10,5)),8))</f>
        <v>5</v>
      </c>
      <c r="G26">
        <f>IF(C26="","",IF(Installer_Database!V26="Excellent",15,IF(Installer_Database!V26="Good",12,IF(Installer_Database!V26="Acceptable",8,IF(Installer_Database!V26="Weak",4,IF(Installer_Database!V26="Unverified",5,5))))))</f>
        <v>5</v>
      </c>
      <c r="H26">
        <f>IF(C26="","",IF(Installer_Database!K26="Strong",10,IF(Installer_Database!K26="Moderate",7,IF(Installer_Database!K26="Basic",4,IF(Installer_Database!K26="No",0,5)))))</f>
        <v>5</v>
      </c>
      <c r="I26">
        <f>IF(C26="","",IF(Installer_Database!W26="Excellent",10,IF(Installer_Database!W26="Good",8,IF(Installer_Database!W26="Acceptable",5,IF(Installer_Database!W26="Weak",2,IF(Installer_Database!W26="Unverified",4,4))))))</f>
        <v>4</v>
      </c>
      <c r="J26">
        <f>IF(C26="","",IF(Installer_Database!S26="Excellent",10,IF(Installer_Database!S26="Good",8,IF(Installer_Database!S26="Acceptable",5,IF(Installer_Database!S26="Weak",2,IF(Installer_Database!S26="Unverified",4,IF(Installer_Database!S26="Strong",10,IF(Installer_Database!S26="Basic",5,4))))))))</f>
        <v>4</v>
      </c>
      <c r="K26">
        <f>IF(C26="","",IF(Installer_Database!T26="Same day",5,IF(Installer_Database!T26="24-48 hours",4,IF(Installer_Database!T26="2-3 days",3,IF(Installer_Database!T26="Slow",1,2)))))</f>
        <v>2</v>
      </c>
      <c r="L26">
        <f>IF(C26="","",IF(Installer_Database!U26=Customer_Profile!$B$12,5,IF(OR(Installer_Database!U26="Mid-range",Customer_Profile!$B$12="Unknown"),3,1)))</f>
        <v>1</v>
      </c>
      <c r="M26" s="47">
        <f t="shared" si="0"/>
        <v>26</v>
      </c>
      <c r="N26" s="47">
        <f>100</f>
        <v>100</v>
      </c>
      <c r="O26" s="35">
        <f t="shared" si="1"/>
        <v>0.26</v>
      </c>
      <c r="P26" t="str">
        <f t="shared" si="2"/>
        <v>Do Not Recommend</v>
      </c>
      <c r="Q26" t="str">
        <f t="shared" si="3"/>
        <v>No</v>
      </c>
      <c r="R26" t="str">
        <f t="shared" si="4"/>
        <v/>
      </c>
      <c r="S26">
        <f>IF(C26="","",Installer_Database!Z26)</f>
        <v>0</v>
      </c>
      <c r="T26">
        <f t="shared" si="5"/>
        <v>7</v>
      </c>
    </row>
    <row r="27" spans="1:20">
      <c r="A27" t="str">
        <f>[1]Installer_Database!A27</f>
        <v>INST-023</v>
      </c>
      <c r="B27">
        <f>Installer_Database!Y27</f>
        <v>0</v>
      </c>
      <c r="C27">
        <f>Installer_Database!B27</f>
        <v>0</v>
      </c>
      <c r="D27">
        <f>IF(C27="","",IF(ISNUMBER(SEARCH(Customer_Profile!$B$11,Installer_Database!G27)),15,IF(ISNUMBER(SEARCH(Customer_Profile!$B$10,Installer_Database!F27)),12,IF(ISNUMBER(SEARCH("National",Installer_Database!F27)),7,0))))</f>
        <v>0</v>
      </c>
      <c r="E27">
        <f>IF(C27="","",IF(ISNUMBER(SEARCH(Customer_Profile!$B$8,Installer_Database!H27)),15,IF(OR(AND(Customer_Profile!$B$8="Hospital",ISNUMBER(SEARCH("Commercial",Installer_Database!H27))),AND(Customer_Profile!$B$8="Hotel",ISNUMBER(SEARCH("Commercial",Installer_Database!H27))),AND(Customer_Profile!$B$8="School",ISNUMBER(SEARCH("Commercial",Installer_Database!H27)))),8,0)))</f>
        <v>0</v>
      </c>
      <c r="F27">
        <f>IF(C27="","",IFERROR(IF(VALUE(LEFT(Customer_Profile!$B$19,FIND("-",Customer_Profile!$B$19&amp;"-")-1))&lt;=Installer_Database!J27,15,IF(VALUE(LEFT(Customer_Profile!$B$19,FIND("-",Customer_Profile!$B$19&amp;"-")-1))&lt;=Installer_Database!J27*1.25,10,5)),8))</f>
        <v>5</v>
      </c>
      <c r="G27">
        <f>IF(C27="","",IF(Installer_Database!V27="Excellent",15,IF(Installer_Database!V27="Good",12,IF(Installer_Database!V27="Acceptable",8,IF(Installer_Database!V27="Weak",4,IF(Installer_Database!V27="Unverified",5,5))))))</f>
        <v>5</v>
      </c>
      <c r="H27">
        <f>IF(C27="","",IF(Installer_Database!K27="Strong",10,IF(Installer_Database!K27="Moderate",7,IF(Installer_Database!K27="Basic",4,IF(Installer_Database!K27="No",0,5)))))</f>
        <v>5</v>
      </c>
      <c r="I27">
        <f>IF(C27="","",IF(Installer_Database!W27="Excellent",10,IF(Installer_Database!W27="Good",8,IF(Installer_Database!W27="Acceptable",5,IF(Installer_Database!W27="Weak",2,IF(Installer_Database!W27="Unverified",4,4))))))</f>
        <v>4</v>
      </c>
      <c r="J27">
        <f>IF(C27="","",IF(Installer_Database!S27="Excellent",10,IF(Installer_Database!S27="Good",8,IF(Installer_Database!S27="Acceptable",5,IF(Installer_Database!S27="Weak",2,IF(Installer_Database!S27="Unverified",4,IF(Installer_Database!S27="Strong",10,IF(Installer_Database!S27="Basic",5,4))))))))</f>
        <v>4</v>
      </c>
      <c r="K27">
        <f>IF(C27="","",IF(Installer_Database!T27="Same day",5,IF(Installer_Database!T27="24-48 hours",4,IF(Installer_Database!T27="2-3 days",3,IF(Installer_Database!T27="Slow",1,2)))))</f>
        <v>2</v>
      </c>
      <c r="L27">
        <f>IF(C27="","",IF(Installer_Database!U27=Customer_Profile!$B$12,5,IF(OR(Installer_Database!U27="Mid-range",Customer_Profile!$B$12="Unknown"),3,1)))</f>
        <v>1</v>
      </c>
      <c r="M27" s="47">
        <f t="shared" si="0"/>
        <v>26</v>
      </c>
      <c r="N27" s="47">
        <f>100</f>
        <v>100</v>
      </c>
      <c r="O27" s="35">
        <f t="shared" si="1"/>
        <v>0.26</v>
      </c>
      <c r="P27" t="str">
        <f t="shared" si="2"/>
        <v>Do Not Recommend</v>
      </c>
      <c r="Q27" t="str">
        <f t="shared" si="3"/>
        <v>No</v>
      </c>
      <c r="R27" t="str">
        <f t="shared" si="4"/>
        <v/>
      </c>
      <c r="S27">
        <f>IF(C27="","",Installer_Database!Z27)</f>
        <v>0</v>
      </c>
      <c r="T27">
        <f t="shared" si="5"/>
        <v>7</v>
      </c>
    </row>
    <row r="28" spans="1:20">
      <c r="A28" t="str">
        <f>[1]Installer_Database!A28</f>
        <v>INST-024</v>
      </c>
      <c r="B28">
        <f>Installer_Database!Y28</f>
        <v>0</v>
      </c>
      <c r="C28">
        <f>Installer_Database!B28</f>
        <v>0</v>
      </c>
      <c r="D28">
        <f>IF(C28="","",IF(ISNUMBER(SEARCH(Customer_Profile!$B$11,Installer_Database!G28)),15,IF(ISNUMBER(SEARCH(Customer_Profile!$B$10,Installer_Database!F28)),12,IF(ISNUMBER(SEARCH("National",Installer_Database!F28)),7,0))))</f>
        <v>0</v>
      </c>
      <c r="E28">
        <f>IF(C28="","",IF(ISNUMBER(SEARCH(Customer_Profile!$B$8,Installer_Database!H28)),15,IF(OR(AND(Customer_Profile!$B$8="Hospital",ISNUMBER(SEARCH("Commercial",Installer_Database!H28))),AND(Customer_Profile!$B$8="Hotel",ISNUMBER(SEARCH("Commercial",Installer_Database!H28))),AND(Customer_Profile!$B$8="School",ISNUMBER(SEARCH("Commercial",Installer_Database!H28)))),8,0)))</f>
        <v>0</v>
      </c>
      <c r="F28">
        <f>IF(C28="","",IFERROR(IF(VALUE(LEFT(Customer_Profile!$B$19,FIND("-",Customer_Profile!$B$19&amp;"-")-1))&lt;=Installer_Database!J28,15,IF(VALUE(LEFT(Customer_Profile!$B$19,FIND("-",Customer_Profile!$B$19&amp;"-")-1))&lt;=Installer_Database!J28*1.25,10,5)),8))</f>
        <v>5</v>
      </c>
      <c r="G28">
        <f>IF(C28="","",IF(Installer_Database!V28="Excellent",15,IF(Installer_Database!V28="Good",12,IF(Installer_Database!V28="Acceptable",8,IF(Installer_Database!V28="Weak",4,IF(Installer_Database!V28="Unverified",5,5))))))</f>
        <v>5</v>
      </c>
      <c r="H28">
        <f>IF(C28="","",IF(Installer_Database!K28="Strong",10,IF(Installer_Database!K28="Moderate",7,IF(Installer_Database!K28="Basic",4,IF(Installer_Database!K28="No",0,5)))))</f>
        <v>5</v>
      </c>
      <c r="I28">
        <f>IF(C28="","",IF(Installer_Database!W28="Excellent",10,IF(Installer_Database!W28="Good",8,IF(Installer_Database!W28="Acceptable",5,IF(Installer_Database!W28="Weak",2,IF(Installer_Database!W28="Unverified",4,4))))))</f>
        <v>4</v>
      </c>
      <c r="J28">
        <f>IF(C28="","",IF(Installer_Database!S28="Excellent",10,IF(Installer_Database!S28="Good",8,IF(Installer_Database!S28="Acceptable",5,IF(Installer_Database!S28="Weak",2,IF(Installer_Database!S28="Unverified",4,IF(Installer_Database!S28="Strong",10,IF(Installer_Database!S28="Basic",5,4))))))))</f>
        <v>4</v>
      </c>
      <c r="K28">
        <f>IF(C28="","",IF(Installer_Database!T28="Same day",5,IF(Installer_Database!T28="24-48 hours",4,IF(Installer_Database!T28="2-3 days",3,IF(Installer_Database!T28="Slow",1,2)))))</f>
        <v>2</v>
      </c>
      <c r="L28">
        <f>IF(C28="","",IF(Installer_Database!U28=Customer_Profile!$B$12,5,IF(OR(Installer_Database!U28="Mid-range",Customer_Profile!$B$12="Unknown"),3,1)))</f>
        <v>1</v>
      </c>
      <c r="M28" s="47">
        <f t="shared" si="0"/>
        <v>26</v>
      </c>
      <c r="N28" s="47">
        <f>100</f>
        <v>100</v>
      </c>
      <c r="O28" s="35">
        <f t="shared" si="1"/>
        <v>0.26</v>
      </c>
      <c r="P28" t="str">
        <f t="shared" si="2"/>
        <v>Do Not Recommend</v>
      </c>
      <c r="Q28" t="str">
        <f t="shared" si="3"/>
        <v>No</v>
      </c>
      <c r="R28" t="str">
        <f t="shared" si="4"/>
        <v/>
      </c>
      <c r="S28">
        <f>IF(C28="","",Installer_Database!Z28)</f>
        <v>0</v>
      </c>
      <c r="T28">
        <f t="shared" si="5"/>
        <v>7</v>
      </c>
    </row>
    <row r="29" spans="1:20">
      <c r="A29" t="str">
        <f>[1]Installer_Database!A29</f>
        <v>INST-025</v>
      </c>
      <c r="B29">
        <f>Installer_Database!Y29</f>
        <v>0</v>
      </c>
      <c r="C29">
        <f>Installer_Database!B29</f>
        <v>0</v>
      </c>
      <c r="D29">
        <f>IF(C29="","",IF(ISNUMBER(SEARCH(Customer_Profile!$B$11,Installer_Database!G29)),15,IF(ISNUMBER(SEARCH(Customer_Profile!$B$10,Installer_Database!F29)),12,IF(ISNUMBER(SEARCH("National",Installer_Database!F29)),7,0))))</f>
        <v>0</v>
      </c>
      <c r="E29">
        <f>IF(C29="","",IF(ISNUMBER(SEARCH(Customer_Profile!$B$8,Installer_Database!H29)),15,IF(OR(AND(Customer_Profile!$B$8="Hospital",ISNUMBER(SEARCH("Commercial",Installer_Database!H29))),AND(Customer_Profile!$B$8="Hotel",ISNUMBER(SEARCH("Commercial",Installer_Database!H29))),AND(Customer_Profile!$B$8="School",ISNUMBER(SEARCH("Commercial",Installer_Database!H29)))),8,0)))</f>
        <v>0</v>
      </c>
      <c r="F29">
        <f>IF(C29="","",IFERROR(IF(VALUE(LEFT(Customer_Profile!$B$19,FIND("-",Customer_Profile!$B$19&amp;"-")-1))&lt;=Installer_Database!J29,15,IF(VALUE(LEFT(Customer_Profile!$B$19,FIND("-",Customer_Profile!$B$19&amp;"-")-1))&lt;=Installer_Database!J29*1.25,10,5)),8))</f>
        <v>5</v>
      </c>
      <c r="G29">
        <f>IF(C29="","",IF(Installer_Database!V29="Excellent",15,IF(Installer_Database!V29="Good",12,IF(Installer_Database!V29="Acceptable",8,IF(Installer_Database!V29="Weak",4,IF(Installer_Database!V29="Unverified",5,5))))))</f>
        <v>5</v>
      </c>
      <c r="H29">
        <f>IF(C29="","",IF(Installer_Database!K29="Strong",10,IF(Installer_Database!K29="Moderate",7,IF(Installer_Database!K29="Basic",4,IF(Installer_Database!K29="No",0,5)))))</f>
        <v>5</v>
      </c>
      <c r="I29">
        <f>IF(C29="","",IF(Installer_Database!W29="Excellent",10,IF(Installer_Database!W29="Good",8,IF(Installer_Database!W29="Acceptable",5,IF(Installer_Database!W29="Weak",2,IF(Installer_Database!W29="Unverified",4,4))))))</f>
        <v>4</v>
      </c>
      <c r="J29">
        <f>IF(C29="","",IF(Installer_Database!S29="Excellent",10,IF(Installer_Database!S29="Good",8,IF(Installer_Database!S29="Acceptable",5,IF(Installer_Database!S29="Weak",2,IF(Installer_Database!S29="Unverified",4,IF(Installer_Database!S29="Strong",10,IF(Installer_Database!S29="Basic",5,4))))))))</f>
        <v>4</v>
      </c>
      <c r="K29">
        <f>IF(C29="","",IF(Installer_Database!T29="Same day",5,IF(Installer_Database!T29="24-48 hours",4,IF(Installer_Database!T29="2-3 days",3,IF(Installer_Database!T29="Slow",1,2)))))</f>
        <v>2</v>
      </c>
      <c r="L29">
        <f>IF(C29="","",IF(Installer_Database!U29=Customer_Profile!$B$12,5,IF(OR(Installer_Database!U29="Mid-range",Customer_Profile!$B$12="Unknown"),3,1)))</f>
        <v>1</v>
      </c>
      <c r="M29" s="47">
        <f t="shared" si="0"/>
        <v>26</v>
      </c>
      <c r="N29" s="47">
        <f>100</f>
        <v>100</v>
      </c>
      <c r="O29" s="35">
        <f t="shared" si="1"/>
        <v>0.26</v>
      </c>
      <c r="P29" t="str">
        <f t="shared" si="2"/>
        <v>Do Not Recommend</v>
      </c>
      <c r="Q29" t="str">
        <f t="shared" si="3"/>
        <v>No</v>
      </c>
      <c r="R29" t="str">
        <f t="shared" si="4"/>
        <v/>
      </c>
      <c r="S29">
        <f>IF(C29="","",Installer_Database!Z29)</f>
        <v>0</v>
      </c>
      <c r="T29">
        <f t="shared" si="5"/>
        <v>7</v>
      </c>
    </row>
    <row r="30" spans="1:20">
      <c r="A30" t="str">
        <f>[1]Installer_Database!A30</f>
        <v>INST-026</v>
      </c>
      <c r="B30">
        <f>Installer_Database!Y30</f>
        <v>0</v>
      </c>
      <c r="C30">
        <f>Installer_Database!B30</f>
        <v>0</v>
      </c>
      <c r="D30">
        <f>IF(C30="","",IF(ISNUMBER(SEARCH(Customer_Profile!$B$11,Installer_Database!G30)),15,IF(ISNUMBER(SEARCH(Customer_Profile!$B$10,Installer_Database!F30)),12,IF(ISNUMBER(SEARCH("National",Installer_Database!F30)),7,0))))</f>
        <v>0</v>
      </c>
      <c r="E30">
        <f>IF(C30="","",IF(ISNUMBER(SEARCH(Customer_Profile!$B$8,Installer_Database!H30)),15,IF(OR(AND(Customer_Profile!$B$8="Hospital",ISNUMBER(SEARCH("Commercial",Installer_Database!H30))),AND(Customer_Profile!$B$8="Hotel",ISNUMBER(SEARCH("Commercial",Installer_Database!H30))),AND(Customer_Profile!$B$8="School",ISNUMBER(SEARCH("Commercial",Installer_Database!H30)))),8,0)))</f>
        <v>0</v>
      </c>
      <c r="F30">
        <f>IF(C30="","",IFERROR(IF(VALUE(LEFT(Customer_Profile!$B$19,FIND("-",Customer_Profile!$B$19&amp;"-")-1))&lt;=Installer_Database!J30,15,IF(VALUE(LEFT(Customer_Profile!$B$19,FIND("-",Customer_Profile!$B$19&amp;"-")-1))&lt;=Installer_Database!J30*1.25,10,5)),8))</f>
        <v>5</v>
      </c>
      <c r="G30">
        <f>IF(C30="","",IF(Installer_Database!V30="Excellent",15,IF(Installer_Database!V30="Good",12,IF(Installer_Database!V30="Acceptable",8,IF(Installer_Database!V30="Weak",4,IF(Installer_Database!V30="Unverified",5,5))))))</f>
        <v>5</v>
      </c>
      <c r="H30">
        <f>IF(C30="","",IF(Installer_Database!K30="Strong",10,IF(Installer_Database!K30="Moderate",7,IF(Installer_Database!K30="Basic",4,IF(Installer_Database!K30="No",0,5)))))</f>
        <v>5</v>
      </c>
      <c r="I30">
        <f>IF(C30="","",IF(Installer_Database!W30="Excellent",10,IF(Installer_Database!W30="Good",8,IF(Installer_Database!W30="Acceptable",5,IF(Installer_Database!W30="Weak",2,IF(Installer_Database!W30="Unverified",4,4))))))</f>
        <v>4</v>
      </c>
      <c r="J30">
        <f>IF(C30="","",IF(Installer_Database!S30="Excellent",10,IF(Installer_Database!S30="Good",8,IF(Installer_Database!S30="Acceptable",5,IF(Installer_Database!S30="Weak",2,IF(Installer_Database!S30="Unverified",4,IF(Installer_Database!S30="Strong",10,IF(Installer_Database!S30="Basic",5,4))))))))</f>
        <v>4</v>
      </c>
      <c r="K30">
        <f>IF(C30="","",IF(Installer_Database!T30="Same day",5,IF(Installer_Database!T30="24-48 hours",4,IF(Installer_Database!T30="2-3 days",3,IF(Installer_Database!T30="Slow",1,2)))))</f>
        <v>2</v>
      </c>
      <c r="L30">
        <f>IF(C30="","",IF(Installer_Database!U30=Customer_Profile!$B$12,5,IF(OR(Installer_Database!U30="Mid-range",Customer_Profile!$B$12="Unknown"),3,1)))</f>
        <v>1</v>
      </c>
      <c r="M30" s="47">
        <f t="shared" si="0"/>
        <v>26</v>
      </c>
      <c r="N30" s="47">
        <f>100</f>
        <v>100</v>
      </c>
      <c r="O30" s="35">
        <f t="shared" si="1"/>
        <v>0.26</v>
      </c>
      <c r="P30" t="str">
        <f t="shared" si="2"/>
        <v>Do Not Recommend</v>
      </c>
      <c r="Q30" t="str">
        <f t="shared" si="3"/>
        <v>No</v>
      </c>
      <c r="R30" t="str">
        <f t="shared" si="4"/>
        <v/>
      </c>
      <c r="S30">
        <f>IF(C30="","",Installer_Database!Z30)</f>
        <v>0</v>
      </c>
      <c r="T30">
        <f t="shared" si="5"/>
        <v>7</v>
      </c>
    </row>
    <row r="31" spans="1:20">
      <c r="A31" t="str">
        <f>[1]Installer_Database!A31</f>
        <v>INST-027</v>
      </c>
      <c r="B31">
        <f>Installer_Database!Y31</f>
        <v>0</v>
      </c>
      <c r="C31">
        <f>Installer_Database!B31</f>
        <v>0</v>
      </c>
      <c r="D31">
        <f>IF(C31="","",IF(ISNUMBER(SEARCH(Customer_Profile!$B$11,Installer_Database!G31)),15,IF(ISNUMBER(SEARCH(Customer_Profile!$B$10,Installer_Database!F31)),12,IF(ISNUMBER(SEARCH("National",Installer_Database!F31)),7,0))))</f>
        <v>0</v>
      </c>
      <c r="E31">
        <f>IF(C31="","",IF(ISNUMBER(SEARCH(Customer_Profile!$B$8,Installer_Database!H31)),15,IF(OR(AND(Customer_Profile!$B$8="Hospital",ISNUMBER(SEARCH("Commercial",Installer_Database!H31))),AND(Customer_Profile!$B$8="Hotel",ISNUMBER(SEARCH("Commercial",Installer_Database!H31))),AND(Customer_Profile!$B$8="School",ISNUMBER(SEARCH("Commercial",Installer_Database!H31)))),8,0)))</f>
        <v>0</v>
      </c>
      <c r="F31">
        <f>IF(C31="","",IFERROR(IF(VALUE(LEFT(Customer_Profile!$B$19,FIND("-",Customer_Profile!$B$19&amp;"-")-1))&lt;=Installer_Database!J31,15,IF(VALUE(LEFT(Customer_Profile!$B$19,FIND("-",Customer_Profile!$B$19&amp;"-")-1))&lt;=Installer_Database!J31*1.25,10,5)),8))</f>
        <v>5</v>
      </c>
      <c r="G31">
        <f>IF(C31="","",IF(Installer_Database!V31="Excellent",15,IF(Installer_Database!V31="Good",12,IF(Installer_Database!V31="Acceptable",8,IF(Installer_Database!V31="Weak",4,IF(Installer_Database!V31="Unverified",5,5))))))</f>
        <v>5</v>
      </c>
      <c r="H31">
        <f>IF(C31="","",IF(Installer_Database!K31="Strong",10,IF(Installer_Database!K31="Moderate",7,IF(Installer_Database!K31="Basic",4,IF(Installer_Database!K31="No",0,5)))))</f>
        <v>5</v>
      </c>
      <c r="I31">
        <f>IF(C31="","",IF(Installer_Database!W31="Excellent",10,IF(Installer_Database!W31="Good",8,IF(Installer_Database!W31="Acceptable",5,IF(Installer_Database!W31="Weak",2,IF(Installer_Database!W31="Unverified",4,4))))))</f>
        <v>4</v>
      </c>
      <c r="J31">
        <f>IF(C31="","",IF(Installer_Database!S31="Excellent",10,IF(Installer_Database!S31="Good",8,IF(Installer_Database!S31="Acceptable",5,IF(Installer_Database!S31="Weak",2,IF(Installer_Database!S31="Unverified",4,IF(Installer_Database!S31="Strong",10,IF(Installer_Database!S31="Basic",5,4))))))))</f>
        <v>4</v>
      </c>
      <c r="K31">
        <f>IF(C31="","",IF(Installer_Database!T31="Same day",5,IF(Installer_Database!T31="24-48 hours",4,IF(Installer_Database!T31="2-3 days",3,IF(Installer_Database!T31="Slow",1,2)))))</f>
        <v>2</v>
      </c>
      <c r="L31">
        <f>IF(C31="","",IF(Installer_Database!U31=Customer_Profile!$B$12,5,IF(OR(Installer_Database!U31="Mid-range",Customer_Profile!$B$12="Unknown"),3,1)))</f>
        <v>1</v>
      </c>
      <c r="M31" s="47">
        <f t="shared" si="0"/>
        <v>26</v>
      </c>
      <c r="N31" s="47">
        <f>100</f>
        <v>100</v>
      </c>
      <c r="O31" s="35">
        <f t="shared" si="1"/>
        <v>0.26</v>
      </c>
      <c r="P31" t="str">
        <f t="shared" si="2"/>
        <v>Do Not Recommend</v>
      </c>
      <c r="Q31" t="str">
        <f t="shared" si="3"/>
        <v>No</v>
      </c>
      <c r="R31" t="str">
        <f t="shared" si="4"/>
        <v/>
      </c>
      <c r="S31">
        <f>IF(C31="","",Installer_Database!Z31)</f>
        <v>0</v>
      </c>
      <c r="T31">
        <f t="shared" si="5"/>
        <v>7</v>
      </c>
    </row>
    <row r="32" spans="1:20">
      <c r="A32" t="str">
        <f>[1]Installer_Database!A32</f>
        <v>INST-028</v>
      </c>
      <c r="B32">
        <f>Installer_Database!Y32</f>
        <v>0</v>
      </c>
      <c r="C32">
        <f>Installer_Database!B32</f>
        <v>0</v>
      </c>
      <c r="D32">
        <f>IF(C32="","",IF(ISNUMBER(SEARCH(Customer_Profile!$B$11,Installer_Database!G32)),15,IF(ISNUMBER(SEARCH(Customer_Profile!$B$10,Installer_Database!F32)),12,IF(ISNUMBER(SEARCH("National",Installer_Database!F32)),7,0))))</f>
        <v>0</v>
      </c>
      <c r="E32">
        <f>IF(C32="","",IF(ISNUMBER(SEARCH(Customer_Profile!$B$8,Installer_Database!H32)),15,IF(OR(AND(Customer_Profile!$B$8="Hospital",ISNUMBER(SEARCH("Commercial",Installer_Database!H32))),AND(Customer_Profile!$B$8="Hotel",ISNUMBER(SEARCH("Commercial",Installer_Database!H32))),AND(Customer_Profile!$B$8="School",ISNUMBER(SEARCH("Commercial",Installer_Database!H32)))),8,0)))</f>
        <v>0</v>
      </c>
      <c r="F32">
        <f>IF(C32="","",IFERROR(IF(VALUE(LEFT(Customer_Profile!$B$19,FIND("-",Customer_Profile!$B$19&amp;"-")-1))&lt;=Installer_Database!J32,15,IF(VALUE(LEFT(Customer_Profile!$B$19,FIND("-",Customer_Profile!$B$19&amp;"-")-1))&lt;=Installer_Database!J32*1.25,10,5)),8))</f>
        <v>5</v>
      </c>
      <c r="G32">
        <f>IF(C32="","",IF(Installer_Database!V32="Excellent",15,IF(Installer_Database!V32="Good",12,IF(Installer_Database!V32="Acceptable",8,IF(Installer_Database!V32="Weak",4,IF(Installer_Database!V32="Unverified",5,5))))))</f>
        <v>5</v>
      </c>
      <c r="H32">
        <f>IF(C32="","",IF(Installer_Database!K32="Strong",10,IF(Installer_Database!K32="Moderate",7,IF(Installer_Database!K32="Basic",4,IF(Installer_Database!K32="No",0,5)))))</f>
        <v>5</v>
      </c>
      <c r="I32">
        <f>IF(C32="","",IF(Installer_Database!W32="Excellent",10,IF(Installer_Database!W32="Good",8,IF(Installer_Database!W32="Acceptable",5,IF(Installer_Database!W32="Weak",2,IF(Installer_Database!W32="Unverified",4,4))))))</f>
        <v>4</v>
      </c>
      <c r="J32">
        <f>IF(C32="","",IF(Installer_Database!S32="Excellent",10,IF(Installer_Database!S32="Good",8,IF(Installer_Database!S32="Acceptable",5,IF(Installer_Database!S32="Weak",2,IF(Installer_Database!S32="Unverified",4,IF(Installer_Database!S32="Strong",10,IF(Installer_Database!S32="Basic",5,4))))))))</f>
        <v>4</v>
      </c>
      <c r="K32">
        <f>IF(C32="","",IF(Installer_Database!T32="Same day",5,IF(Installer_Database!T32="24-48 hours",4,IF(Installer_Database!T32="2-3 days",3,IF(Installer_Database!T32="Slow",1,2)))))</f>
        <v>2</v>
      </c>
      <c r="L32">
        <f>IF(C32="","",IF(Installer_Database!U32=Customer_Profile!$B$12,5,IF(OR(Installer_Database!U32="Mid-range",Customer_Profile!$B$12="Unknown"),3,1)))</f>
        <v>1</v>
      </c>
      <c r="M32" s="47">
        <f t="shared" si="0"/>
        <v>26</v>
      </c>
      <c r="N32" s="47">
        <f>100</f>
        <v>100</v>
      </c>
      <c r="O32" s="35">
        <f t="shared" si="1"/>
        <v>0.26</v>
      </c>
      <c r="P32" t="str">
        <f t="shared" si="2"/>
        <v>Do Not Recommend</v>
      </c>
      <c r="Q32" t="str">
        <f t="shared" si="3"/>
        <v>No</v>
      </c>
      <c r="R32" t="str">
        <f t="shared" si="4"/>
        <v/>
      </c>
      <c r="S32">
        <f>IF(C32="","",Installer_Database!Z32)</f>
        <v>0</v>
      </c>
      <c r="T32">
        <f t="shared" si="5"/>
        <v>7</v>
      </c>
    </row>
    <row r="33" spans="1:20">
      <c r="A33" t="str">
        <f>[1]Installer_Database!A33</f>
        <v>INST-029</v>
      </c>
      <c r="B33">
        <f>Installer_Database!Y33</f>
        <v>0</v>
      </c>
      <c r="C33">
        <f>Installer_Database!B33</f>
        <v>0</v>
      </c>
      <c r="D33">
        <f>IF(C33="","",IF(ISNUMBER(SEARCH(Customer_Profile!$B$11,Installer_Database!G33)),15,IF(ISNUMBER(SEARCH(Customer_Profile!$B$10,Installer_Database!F33)),12,IF(ISNUMBER(SEARCH("National",Installer_Database!F33)),7,0))))</f>
        <v>0</v>
      </c>
      <c r="E33">
        <f>IF(C33="","",IF(ISNUMBER(SEARCH(Customer_Profile!$B$8,Installer_Database!H33)),15,IF(OR(AND(Customer_Profile!$B$8="Hospital",ISNUMBER(SEARCH("Commercial",Installer_Database!H33))),AND(Customer_Profile!$B$8="Hotel",ISNUMBER(SEARCH("Commercial",Installer_Database!H33))),AND(Customer_Profile!$B$8="School",ISNUMBER(SEARCH("Commercial",Installer_Database!H33)))),8,0)))</f>
        <v>0</v>
      </c>
      <c r="F33">
        <f>IF(C33="","",IFERROR(IF(VALUE(LEFT(Customer_Profile!$B$19,FIND("-",Customer_Profile!$B$19&amp;"-")-1))&lt;=Installer_Database!J33,15,IF(VALUE(LEFT(Customer_Profile!$B$19,FIND("-",Customer_Profile!$B$19&amp;"-")-1))&lt;=Installer_Database!J33*1.25,10,5)),8))</f>
        <v>5</v>
      </c>
      <c r="G33">
        <f>IF(C33="","",IF(Installer_Database!V33="Excellent",15,IF(Installer_Database!V33="Good",12,IF(Installer_Database!V33="Acceptable",8,IF(Installer_Database!V33="Weak",4,IF(Installer_Database!V33="Unverified",5,5))))))</f>
        <v>5</v>
      </c>
      <c r="H33">
        <f>IF(C33="","",IF(Installer_Database!K33="Strong",10,IF(Installer_Database!K33="Moderate",7,IF(Installer_Database!K33="Basic",4,IF(Installer_Database!K33="No",0,5)))))</f>
        <v>5</v>
      </c>
      <c r="I33">
        <f>IF(C33="","",IF(Installer_Database!W33="Excellent",10,IF(Installer_Database!W33="Good",8,IF(Installer_Database!W33="Acceptable",5,IF(Installer_Database!W33="Weak",2,IF(Installer_Database!W33="Unverified",4,4))))))</f>
        <v>4</v>
      </c>
      <c r="J33">
        <f>IF(C33="","",IF(Installer_Database!S33="Excellent",10,IF(Installer_Database!S33="Good",8,IF(Installer_Database!S33="Acceptable",5,IF(Installer_Database!S33="Weak",2,IF(Installer_Database!S33="Unverified",4,IF(Installer_Database!S33="Strong",10,IF(Installer_Database!S33="Basic",5,4))))))))</f>
        <v>4</v>
      </c>
      <c r="K33">
        <f>IF(C33="","",IF(Installer_Database!T33="Same day",5,IF(Installer_Database!T33="24-48 hours",4,IF(Installer_Database!T33="2-3 days",3,IF(Installer_Database!T33="Slow",1,2)))))</f>
        <v>2</v>
      </c>
      <c r="L33">
        <f>IF(C33="","",IF(Installer_Database!U33=Customer_Profile!$B$12,5,IF(OR(Installer_Database!U33="Mid-range",Customer_Profile!$B$12="Unknown"),3,1)))</f>
        <v>1</v>
      </c>
      <c r="M33" s="47">
        <f t="shared" si="0"/>
        <v>26</v>
      </c>
      <c r="N33" s="47">
        <f>100</f>
        <v>100</v>
      </c>
      <c r="O33" s="35">
        <f t="shared" si="1"/>
        <v>0.26</v>
      </c>
      <c r="P33" t="str">
        <f t="shared" si="2"/>
        <v>Do Not Recommend</v>
      </c>
      <c r="Q33" t="str">
        <f t="shared" si="3"/>
        <v>No</v>
      </c>
      <c r="R33" t="str">
        <f t="shared" si="4"/>
        <v/>
      </c>
      <c r="S33">
        <f>IF(C33="","",Installer_Database!Z33)</f>
        <v>0</v>
      </c>
      <c r="T33">
        <f t="shared" si="5"/>
        <v>7</v>
      </c>
    </row>
    <row r="34" spans="1:20">
      <c r="A34" t="str">
        <f>[1]Installer_Database!A34</f>
        <v>INST-030</v>
      </c>
      <c r="B34">
        <f>Installer_Database!Y34</f>
        <v>0</v>
      </c>
      <c r="C34">
        <f>Installer_Database!B34</f>
        <v>0</v>
      </c>
      <c r="D34">
        <f>IF(C34="","",IF(ISNUMBER(SEARCH(Customer_Profile!$B$11,Installer_Database!G34)),15,IF(ISNUMBER(SEARCH(Customer_Profile!$B$10,Installer_Database!F34)),12,IF(ISNUMBER(SEARCH("National",Installer_Database!F34)),7,0))))</f>
        <v>0</v>
      </c>
      <c r="E34">
        <f>IF(C34="","",IF(ISNUMBER(SEARCH(Customer_Profile!$B$8,Installer_Database!H34)),15,IF(OR(AND(Customer_Profile!$B$8="Hospital",ISNUMBER(SEARCH("Commercial",Installer_Database!H34))),AND(Customer_Profile!$B$8="Hotel",ISNUMBER(SEARCH("Commercial",Installer_Database!H34))),AND(Customer_Profile!$B$8="School",ISNUMBER(SEARCH("Commercial",Installer_Database!H34)))),8,0)))</f>
        <v>0</v>
      </c>
      <c r="F34">
        <f>IF(C34="","",IFERROR(IF(VALUE(LEFT(Customer_Profile!$B$19,FIND("-",Customer_Profile!$B$19&amp;"-")-1))&lt;=Installer_Database!J34,15,IF(VALUE(LEFT(Customer_Profile!$B$19,FIND("-",Customer_Profile!$B$19&amp;"-")-1))&lt;=Installer_Database!J34*1.25,10,5)),8))</f>
        <v>5</v>
      </c>
      <c r="G34">
        <f>IF(C34="","",IF(Installer_Database!V34="Excellent",15,IF(Installer_Database!V34="Good",12,IF(Installer_Database!V34="Acceptable",8,IF(Installer_Database!V34="Weak",4,IF(Installer_Database!V34="Unverified",5,5))))))</f>
        <v>5</v>
      </c>
      <c r="H34">
        <f>IF(C34="","",IF(Installer_Database!K34="Strong",10,IF(Installer_Database!K34="Moderate",7,IF(Installer_Database!K34="Basic",4,IF(Installer_Database!K34="No",0,5)))))</f>
        <v>5</v>
      </c>
      <c r="I34">
        <f>IF(C34="","",IF(Installer_Database!W34="Excellent",10,IF(Installer_Database!W34="Good",8,IF(Installer_Database!W34="Acceptable",5,IF(Installer_Database!W34="Weak",2,IF(Installer_Database!W34="Unverified",4,4))))))</f>
        <v>4</v>
      </c>
      <c r="J34">
        <f>IF(C34="","",IF(Installer_Database!S34="Excellent",10,IF(Installer_Database!S34="Good",8,IF(Installer_Database!S34="Acceptable",5,IF(Installer_Database!S34="Weak",2,IF(Installer_Database!S34="Unverified",4,IF(Installer_Database!S34="Strong",10,IF(Installer_Database!S34="Basic",5,4))))))))</f>
        <v>4</v>
      </c>
      <c r="K34">
        <f>IF(C34="","",IF(Installer_Database!T34="Same day",5,IF(Installer_Database!T34="24-48 hours",4,IF(Installer_Database!T34="2-3 days",3,IF(Installer_Database!T34="Slow",1,2)))))</f>
        <v>2</v>
      </c>
      <c r="L34">
        <f>IF(C34="","",IF(Installer_Database!U34=Customer_Profile!$B$12,5,IF(OR(Installer_Database!U34="Mid-range",Customer_Profile!$B$12="Unknown"),3,1)))</f>
        <v>1</v>
      </c>
      <c r="M34" s="47">
        <f t="shared" si="0"/>
        <v>26</v>
      </c>
      <c r="N34" s="47">
        <f>100</f>
        <v>100</v>
      </c>
      <c r="O34" s="35">
        <f t="shared" si="1"/>
        <v>0.26</v>
      </c>
      <c r="P34" t="str">
        <f t="shared" si="2"/>
        <v>Do Not Recommend</v>
      </c>
      <c r="Q34" t="str">
        <f t="shared" si="3"/>
        <v>No</v>
      </c>
      <c r="R34" t="str">
        <f t="shared" si="4"/>
        <v/>
      </c>
      <c r="S34">
        <f>IF(C34="","",Installer_Database!Z34)</f>
        <v>0</v>
      </c>
      <c r="T34">
        <f t="shared" si="5"/>
        <v>7</v>
      </c>
    </row>
    <row r="35" spans="1:20">
      <c r="A35" t="str">
        <f>[1]Installer_Database!A35</f>
        <v>INST-031</v>
      </c>
      <c r="B35">
        <f>Installer_Database!Y35</f>
        <v>0</v>
      </c>
      <c r="C35">
        <f>Installer_Database!B35</f>
        <v>0</v>
      </c>
      <c r="D35">
        <f>IF(C35="","",IF(ISNUMBER(SEARCH(Customer_Profile!$B$11,Installer_Database!G35)),15,IF(ISNUMBER(SEARCH(Customer_Profile!$B$10,Installer_Database!F35)),12,IF(ISNUMBER(SEARCH("National",Installer_Database!F35)),7,0))))</f>
        <v>0</v>
      </c>
      <c r="E35">
        <f>IF(C35="","",IF(ISNUMBER(SEARCH(Customer_Profile!$B$8,Installer_Database!H35)),15,IF(OR(AND(Customer_Profile!$B$8="Hospital",ISNUMBER(SEARCH("Commercial",Installer_Database!H35))),AND(Customer_Profile!$B$8="Hotel",ISNUMBER(SEARCH("Commercial",Installer_Database!H35))),AND(Customer_Profile!$B$8="School",ISNUMBER(SEARCH("Commercial",Installer_Database!H35)))),8,0)))</f>
        <v>0</v>
      </c>
      <c r="F35">
        <f>IF(C35="","",IFERROR(IF(VALUE(LEFT(Customer_Profile!$B$19,FIND("-",Customer_Profile!$B$19&amp;"-")-1))&lt;=Installer_Database!J35,15,IF(VALUE(LEFT(Customer_Profile!$B$19,FIND("-",Customer_Profile!$B$19&amp;"-")-1))&lt;=Installer_Database!J35*1.25,10,5)),8))</f>
        <v>5</v>
      </c>
      <c r="G35">
        <f>IF(C35="","",IF(Installer_Database!V35="Excellent",15,IF(Installer_Database!V35="Good",12,IF(Installer_Database!V35="Acceptable",8,IF(Installer_Database!V35="Weak",4,IF(Installer_Database!V35="Unverified",5,5))))))</f>
        <v>5</v>
      </c>
      <c r="H35">
        <f>IF(C35="","",IF(Installer_Database!K35="Strong",10,IF(Installer_Database!K35="Moderate",7,IF(Installer_Database!K35="Basic",4,IF(Installer_Database!K35="No",0,5)))))</f>
        <v>5</v>
      </c>
      <c r="I35">
        <f>IF(C35="","",IF(Installer_Database!W35="Excellent",10,IF(Installer_Database!W35="Good",8,IF(Installer_Database!W35="Acceptable",5,IF(Installer_Database!W35="Weak",2,IF(Installer_Database!W35="Unverified",4,4))))))</f>
        <v>4</v>
      </c>
      <c r="J35">
        <f>IF(C35="","",IF(Installer_Database!S35="Excellent",10,IF(Installer_Database!S35="Good",8,IF(Installer_Database!S35="Acceptable",5,IF(Installer_Database!S35="Weak",2,IF(Installer_Database!S35="Unverified",4,IF(Installer_Database!S35="Strong",10,IF(Installer_Database!S35="Basic",5,4))))))))</f>
        <v>4</v>
      </c>
      <c r="K35">
        <f>IF(C35="","",IF(Installer_Database!T35="Same day",5,IF(Installer_Database!T35="24-48 hours",4,IF(Installer_Database!T35="2-3 days",3,IF(Installer_Database!T35="Slow",1,2)))))</f>
        <v>2</v>
      </c>
      <c r="L35">
        <f>IF(C35="","",IF(Installer_Database!U35=Customer_Profile!$B$12,5,IF(OR(Installer_Database!U35="Mid-range",Customer_Profile!$B$12="Unknown"),3,1)))</f>
        <v>1</v>
      </c>
      <c r="M35" s="47">
        <f t="shared" si="0"/>
        <v>26</v>
      </c>
      <c r="N35" s="47">
        <f>100</f>
        <v>100</v>
      </c>
      <c r="O35" s="35">
        <f t="shared" si="1"/>
        <v>0.26</v>
      </c>
      <c r="P35" t="str">
        <f t="shared" si="2"/>
        <v>Do Not Recommend</v>
      </c>
      <c r="Q35" t="str">
        <f t="shared" si="3"/>
        <v>No</v>
      </c>
      <c r="R35" t="str">
        <f t="shared" si="4"/>
        <v/>
      </c>
      <c r="S35">
        <f>IF(C35="","",Installer_Database!Z35)</f>
        <v>0</v>
      </c>
      <c r="T35">
        <f t="shared" si="5"/>
        <v>7</v>
      </c>
    </row>
    <row r="36" spans="1:20">
      <c r="A36" t="str">
        <f>[1]Installer_Database!A36</f>
        <v>INST-032</v>
      </c>
      <c r="B36">
        <f>Installer_Database!Y36</f>
        <v>0</v>
      </c>
      <c r="C36">
        <f>Installer_Database!B36</f>
        <v>0</v>
      </c>
      <c r="D36">
        <f>IF(C36="","",IF(ISNUMBER(SEARCH(Customer_Profile!$B$11,Installer_Database!G36)),15,IF(ISNUMBER(SEARCH(Customer_Profile!$B$10,Installer_Database!F36)),12,IF(ISNUMBER(SEARCH("National",Installer_Database!F36)),7,0))))</f>
        <v>0</v>
      </c>
      <c r="E36">
        <f>IF(C36="","",IF(ISNUMBER(SEARCH(Customer_Profile!$B$8,Installer_Database!H36)),15,IF(OR(AND(Customer_Profile!$B$8="Hospital",ISNUMBER(SEARCH("Commercial",Installer_Database!H36))),AND(Customer_Profile!$B$8="Hotel",ISNUMBER(SEARCH("Commercial",Installer_Database!H36))),AND(Customer_Profile!$B$8="School",ISNUMBER(SEARCH("Commercial",Installer_Database!H36)))),8,0)))</f>
        <v>0</v>
      </c>
      <c r="F36">
        <f>IF(C36="","",IFERROR(IF(VALUE(LEFT(Customer_Profile!$B$19,FIND("-",Customer_Profile!$B$19&amp;"-")-1))&lt;=Installer_Database!J36,15,IF(VALUE(LEFT(Customer_Profile!$B$19,FIND("-",Customer_Profile!$B$19&amp;"-")-1))&lt;=Installer_Database!J36*1.25,10,5)),8))</f>
        <v>5</v>
      </c>
      <c r="G36">
        <f>IF(C36="","",IF(Installer_Database!V36="Excellent",15,IF(Installer_Database!V36="Good",12,IF(Installer_Database!V36="Acceptable",8,IF(Installer_Database!V36="Weak",4,IF(Installer_Database!V36="Unverified",5,5))))))</f>
        <v>5</v>
      </c>
      <c r="H36">
        <f>IF(C36="","",IF(Installer_Database!K36="Strong",10,IF(Installer_Database!K36="Moderate",7,IF(Installer_Database!K36="Basic",4,IF(Installer_Database!K36="No",0,5)))))</f>
        <v>5</v>
      </c>
      <c r="I36">
        <f>IF(C36="","",IF(Installer_Database!W36="Excellent",10,IF(Installer_Database!W36="Good",8,IF(Installer_Database!W36="Acceptable",5,IF(Installer_Database!W36="Weak",2,IF(Installer_Database!W36="Unverified",4,4))))))</f>
        <v>4</v>
      </c>
      <c r="J36">
        <f>IF(C36="","",IF(Installer_Database!S36="Excellent",10,IF(Installer_Database!S36="Good",8,IF(Installer_Database!S36="Acceptable",5,IF(Installer_Database!S36="Weak",2,IF(Installer_Database!S36="Unverified",4,IF(Installer_Database!S36="Strong",10,IF(Installer_Database!S36="Basic",5,4))))))))</f>
        <v>4</v>
      </c>
      <c r="K36">
        <f>IF(C36="","",IF(Installer_Database!T36="Same day",5,IF(Installer_Database!T36="24-48 hours",4,IF(Installer_Database!T36="2-3 days",3,IF(Installer_Database!T36="Slow",1,2)))))</f>
        <v>2</v>
      </c>
      <c r="L36">
        <f>IF(C36="","",IF(Installer_Database!U36=Customer_Profile!$B$12,5,IF(OR(Installer_Database!U36="Mid-range",Customer_Profile!$B$12="Unknown"),3,1)))</f>
        <v>1</v>
      </c>
      <c r="M36" s="47">
        <f t="shared" si="0"/>
        <v>26</v>
      </c>
      <c r="N36" s="47">
        <f>100</f>
        <v>100</v>
      </c>
      <c r="O36" s="35">
        <f t="shared" si="1"/>
        <v>0.26</v>
      </c>
      <c r="P36" t="str">
        <f t="shared" si="2"/>
        <v>Do Not Recommend</v>
      </c>
      <c r="Q36" t="str">
        <f t="shared" si="3"/>
        <v>No</v>
      </c>
      <c r="R36" t="str">
        <f t="shared" si="4"/>
        <v/>
      </c>
      <c r="S36">
        <f>IF(C36="","",Installer_Database!Z36)</f>
        <v>0</v>
      </c>
      <c r="T36">
        <f t="shared" si="5"/>
        <v>7</v>
      </c>
    </row>
    <row r="37" spans="1:20">
      <c r="A37" t="str">
        <f>[1]Installer_Database!A37</f>
        <v>INST-033</v>
      </c>
      <c r="B37">
        <f>Installer_Database!Y37</f>
        <v>0</v>
      </c>
      <c r="C37">
        <f>Installer_Database!B37</f>
        <v>0</v>
      </c>
      <c r="D37">
        <f>IF(C37="","",IF(ISNUMBER(SEARCH(Customer_Profile!$B$11,Installer_Database!G37)),15,IF(ISNUMBER(SEARCH(Customer_Profile!$B$10,Installer_Database!F37)),12,IF(ISNUMBER(SEARCH("National",Installer_Database!F37)),7,0))))</f>
        <v>0</v>
      </c>
      <c r="E37">
        <f>IF(C37="","",IF(ISNUMBER(SEARCH(Customer_Profile!$B$8,Installer_Database!H37)),15,IF(OR(AND(Customer_Profile!$B$8="Hospital",ISNUMBER(SEARCH("Commercial",Installer_Database!H37))),AND(Customer_Profile!$B$8="Hotel",ISNUMBER(SEARCH("Commercial",Installer_Database!H37))),AND(Customer_Profile!$B$8="School",ISNUMBER(SEARCH("Commercial",Installer_Database!H37)))),8,0)))</f>
        <v>0</v>
      </c>
      <c r="F37">
        <f>IF(C37="","",IFERROR(IF(VALUE(LEFT(Customer_Profile!$B$19,FIND("-",Customer_Profile!$B$19&amp;"-")-1))&lt;=Installer_Database!J37,15,IF(VALUE(LEFT(Customer_Profile!$B$19,FIND("-",Customer_Profile!$B$19&amp;"-")-1))&lt;=Installer_Database!J37*1.25,10,5)),8))</f>
        <v>5</v>
      </c>
      <c r="G37">
        <f>IF(C37="","",IF(Installer_Database!V37="Excellent",15,IF(Installer_Database!V37="Good",12,IF(Installer_Database!V37="Acceptable",8,IF(Installer_Database!V37="Weak",4,IF(Installer_Database!V37="Unverified",5,5))))))</f>
        <v>5</v>
      </c>
      <c r="H37">
        <f>IF(C37="","",IF(Installer_Database!K37="Strong",10,IF(Installer_Database!K37="Moderate",7,IF(Installer_Database!K37="Basic",4,IF(Installer_Database!K37="No",0,5)))))</f>
        <v>5</v>
      </c>
      <c r="I37">
        <f>IF(C37="","",IF(Installer_Database!W37="Excellent",10,IF(Installer_Database!W37="Good",8,IF(Installer_Database!W37="Acceptable",5,IF(Installer_Database!W37="Weak",2,IF(Installer_Database!W37="Unverified",4,4))))))</f>
        <v>4</v>
      </c>
      <c r="J37">
        <f>IF(C37="","",IF(Installer_Database!S37="Excellent",10,IF(Installer_Database!S37="Good",8,IF(Installer_Database!S37="Acceptable",5,IF(Installer_Database!S37="Weak",2,IF(Installer_Database!S37="Unverified",4,IF(Installer_Database!S37="Strong",10,IF(Installer_Database!S37="Basic",5,4))))))))</f>
        <v>4</v>
      </c>
      <c r="K37">
        <f>IF(C37="","",IF(Installer_Database!T37="Same day",5,IF(Installer_Database!T37="24-48 hours",4,IF(Installer_Database!T37="2-3 days",3,IF(Installer_Database!T37="Slow",1,2)))))</f>
        <v>2</v>
      </c>
      <c r="L37">
        <f>IF(C37="","",IF(Installer_Database!U37=Customer_Profile!$B$12,5,IF(OR(Installer_Database!U37="Mid-range",Customer_Profile!$B$12="Unknown"),3,1)))</f>
        <v>1</v>
      </c>
      <c r="M37" s="47">
        <f t="shared" si="0"/>
        <v>26</v>
      </c>
      <c r="N37" s="47">
        <f>100</f>
        <v>100</v>
      </c>
      <c r="O37" s="35">
        <f t="shared" si="1"/>
        <v>0.26</v>
      </c>
      <c r="P37" t="str">
        <f t="shared" si="2"/>
        <v>Do Not Recommend</v>
      </c>
      <c r="Q37" t="str">
        <f t="shared" si="3"/>
        <v>No</v>
      </c>
      <c r="R37" t="str">
        <f t="shared" si="4"/>
        <v/>
      </c>
      <c r="S37">
        <f>IF(C37="","",Installer_Database!Z37)</f>
        <v>0</v>
      </c>
      <c r="T37">
        <f t="shared" si="5"/>
        <v>7</v>
      </c>
    </row>
    <row r="38" spans="1:20">
      <c r="A38" t="str">
        <f>[1]Installer_Database!A38</f>
        <v>INST-034</v>
      </c>
      <c r="B38">
        <f>Installer_Database!Y38</f>
        <v>0</v>
      </c>
      <c r="C38">
        <f>Installer_Database!B38</f>
        <v>0</v>
      </c>
      <c r="D38">
        <f>IF(C38="","",IF(ISNUMBER(SEARCH(Customer_Profile!$B$11,Installer_Database!G38)),15,IF(ISNUMBER(SEARCH(Customer_Profile!$B$10,Installer_Database!F38)),12,IF(ISNUMBER(SEARCH("National",Installer_Database!F38)),7,0))))</f>
        <v>0</v>
      </c>
      <c r="E38">
        <f>IF(C38="","",IF(ISNUMBER(SEARCH(Customer_Profile!$B$8,Installer_Database!H38)),15,IF(OR(AND(Customer_Profile!$B$8="Hospital",ISNUMBER(SEARCH("Commercial",Installer_Database!H38))),AND(Customer_Profile!$B$8="Hotel",ISNUMBER(SEARCH("Commercial",Installer_Database!H38))),AND(Customer_Profile!$B$8="School",ISNUMBER(SEARCH("Commercial",Installer_Database!H38)))),8,0)))</f>
        <v>0</v>
      </c>
      <c r="F38">
        <f>IF(C38="","",IFERROR(IF(VALUE(LEFT(Customer_Profile!$B$19,FIND("-",Customer_Profile!$B$19&amp;"-")-1))&lt;=Installer_Database!J38,15,IF(VALUE(LEFT(Customer_Profile!$B$19,FIND("-",Customer_Profile!$B$19&amp;"-")-1))&lt;=Installer_Database!J38*1.25,10,5)),8))</f>
        <v>5</v>
      </c>
      <c r="G38">
        <f>IF(C38="","",IF(Installer_Database!V38="Excellent",15,IF(Installer_Database!V38="Good",12,IF(Installer_Database!V38="Acceptable",8,IF(Installer_Database!V38="Weak",4,IF(Installer_Database!V38="Unverified",5,5))))))</f>
        <v>5</v>
      </c>
      <c r="H38">
        <f>IF(C38="","",IF(Installer_Database!K38="Strong",10,IF(Installer_Database!K38="Moderate",7,IF(Installer_Database!K38="Basic",4,IF(Installer_Database!K38="No",0,5)))))</f>
        <v>5</v>
      </c>
      <c r="I38">
        <f>IF(C38="","",IF(Installer_Database!W38="Excellent",10,IF(Installer_Database!W38="Good",8,IF(Installer_Database!W38="Acceptable",5,IF(Installer_Database!W38="Weak",2,IF(Installer_Database!W38="Unverified",4,4))))))</f>
        <v>4</v>
      </c>
      <c r="J38">
        <f>IF(C38="","",IF(Installer_Database!S38="Excellent",10,IF(Installer_Database!S38="Good",8,IF(Installer_Database!S38="Acceptable",5,IF(Installer_Database!S38="Weak",2,IF(Installer_Database!S38="Unverified",4,IF(Installer_Database!S38="Strong",10,IF(Installer_Database!S38="Basic",5,4))))))))</f>
        <v>4</v>
      </c>
      <c r="K38">
        <f>IF(C38="","",IF(Installer_Database!T38="Same day",5,IF(Installer_Database!T38="24-48 hours",4,IF(Installer_Database!T38="2-3 days",3,IF(Installer_Database!T38="Slow",1,2)))))</f>
        <v>2</v>
      </c>
      <c r="L38">
        <f>IF(C38="","",IF(Installer_Database!U38=Customer_Profile!$B$12,5,IF(OR(Installer_Database!U38="Mid-range",Customer_Profile!$B$12="Unknown"),3,1)))</f>
        <v>1</v>
      </c>
      <c r="M38" s="47">
        <f t="shared" si="0"/>
        <v>26</v>
      </c>
      <c r="N38" s="47">
        <f>100</f>
        <v>100</v>
      </c>
      <c r="O38" s="35">
        <f t="shared" si="1"/>
        <v>0.26</v>
      </c>
      <c r="P38" t="str">
        <f t="shared" si="2"/>
        <v>Do Not Recommend</v>
      </c>
      <c r="Q38" t="str">
        <f t="shared" si="3"/>
        <v>No</v>
      </c>
      <c r="R38" t="str">
        <f t="shared" si="4"/>
        <v/>
      </c>
      <c r="S38">
        <f>IF(C38="","",Installer_Database!Z38)</f>
        <v>0</v>
      </c>
      <c r="T38">
        <f t="shared" si="5"/>
        <v>7</v>
      </c>
    </row>
    <row r="39" spans="1:20">
      <c r="A39" t="str">
        <f>[1]Installer_Database!A39</f>
        <v>INST-035</v>
      </c>
      <c r="B39">
        <f>Installer_Database!Y39</f>
        <v>0</v>
      </c>
      <c r="C39">
        <f>Installer_Database!B39</f>
        <v>0</v>
      </c>
      <c r="D39">
        <f>IF(C39="","",IF(ISNUMBER(SEARCH(Customer_Profile!$B$11,Installer_Database!G39)),15,IF(ISNUMBER(SEARCH(Customer_Profile!$B$10,Installer_Database!F39)),12,IF(ISNUMBER(SEARCH("National",Installer_Database!F39)),7,0))))</f>
        <v>0</v>
      </c>
      <c r="E39">
        <f>IF(C39="","",IF(ISNUMBER(SEARCH(Customer_Profile!$B$8,Installer_Database!H39)),15,IF(OR(AND(Customer_Profile!$B$8="Hospital",ISNUMBER(SEARCH("Commercial",Installer_Database!H39))),AND(Customer_Profile!$B$8="Hotel",ISNUMBER(SEARCH("Commercial",Installer_Database!H39))),AND(Customer_Profile!$B$8="School",ISNUMBER(SEARCH("Commercial",Installer_Database!H39)))),8,0)))</f>
        <v>0</v>
      </c>
      <c r="F39">
        <f>IF(C39="","",IFERROR(IF(VALUE(LEFT(Customer_Profile!$B$19,FIND("-",Customer_Profile!$B$19&amp;"-")-1))&lt;=Installer_Database!J39,15,IF(VALUE(LEFT(Customer_Profile!$B$19,FIND("-",Customer_Profile!$B$19&amp;"-")-1))&lt;=Installer_Database!J39*1.25,10,5)),8))</f>
        <v>5</v>
      </c>
      <c r="G39">
        <f>IF(C39="","",IF(Installer_Database!V39="Excellent",15,IF(Installer_Database!V39="Good",12,IF(Installer_Database!V39="Acceptable",8,IF(Installer_Database!V39="Weak",4,IF(Installer_Database!V39="Unverified",5,5))))))</f>
        <v>5</v>
      </c>
      <c r="H39">
        <f>IF(C39="","",IF(Installer_Database!K39="Strong",10,IF(Installer_Database!K39="Moderate",7,IF(Installer_Database!K39="Basic",4,IF(Installer_Database!K39="No",0,5)))))</f>
        <v>5</v>
      </c>
      <c r="I39">
        <f>IF(C39="","",IF(Installer_Database!W39="Excellent",10,IF(Installer_Database!W39="Good",8,IF(Installer_Database!W39="Acceptable",5,IF(Installer_Database!W39="Weak",2,IF(Installer_Database!W39="Unverified",4,4))))))</f>
        <v>4</v>
      </c>
      <c r="J39">
        <f>IF(C39="","",IF(Installer_Database!S39="Excellent",10,IF(Installer_Database!S39="Good",8,IF(Installer_Database!S39="Acceptable",5,IF(Installer_Database!S39="Weak",2,IF(Installer_Database!S39="Unverified",4,IF(Installer_Database!S39="Strong",10,IF(Installer_Database!S39="Basic",5,4))))))))</f>
        <v>4</v>
      </c>
      <c r="K39">
        <f>IF(C39="","",IF(Installer_Database!T39="Same day",5,IF(Installer_Database!T39="24-48 hours",4,IF(Installer_Database!T39="2-3 days",3,IF(Installer_Database!T39="Slow",1,2)))))</f>
        <v>2</v>
      </c>
      <c r="L39">
        <f>IF(C39="","",IF(Installer_Database!U39=Customer_Profile!$B$12,5,IF(OR(Installer_Database!U39="Mid-range",Customer_Profile!$B$12="Unknown"),3,1)))</f>
        <v>1</v>
      </c>
      <c r="M39" s="47">
        <f t="shared" si="0"/>
        <v>26</v>
      </c>
      <c r="N39" s="47">
        <f>100</f>
        <v>100</v>
      </c>
      <c r="O39" s="35">
        <f t="shared" si="1"/>
        <v>0.26</v>
      </c>
      <c r="P39" t="str">
        <f t="shared" si="2"/>
        <v>Do Not Recommend</v>
      </c>
      <c r="Q39" t="str">
        <f t="shared" si="3"/>
        <v>No</v>
      </c>
      <c r="R39" t="str">
        <f t="shared" si="4"/>
        <v/>
      </c>
      <c r="S39">
        <f>IF(C39="","",Installer_Database!Z39)</f>
        <v>0</v>
      </c>
      <c r="T39">
        <f t="shared" si="5"/>
        <v>7</v>
      </c>
    </row>
    <row r="40" spans="1:20">
      <c r="A40" t="str">
        <f>[1]Installer_Database!A40</f>
        <v>INST-036</v>
      </c>
      <c r="B40">
        <f>Installer_Database!Y40</f>
        <v>0</v>
      </c>
      <c r="C40">
        <f>Installer_Database!B40</f>
        <v>0</v>
      </c>
      <c r="D40">
        <f>IF(C40="","",IF(ISNUMBER(SEARCH(Customer_Profile!$B$11,Installer_Database!G40)),15,IF(ISNUMBER(SEARCH(Customer_Profile!$B$10,Installer_Database!F40)),12,IF(ISNUMBER(SEARCH("National",Installer_Database!F40)),7,0))))</f>
        <v>0</v>
      </c>
      <c r="E40">
        <f>IF(C40="","",IF(ISNUMBER(SEARCH(Customer_Profile!$B$8,Installer_Database!H40)),15,IF(OR(AND(Customer_Profile!$B$8="Hospital",ISNUMBER(SEARCH("Commercial",Installer_Database!H40))),AND(Customer_Profile!$B$8="Hotel",ISNUMBER(SEARCH("Commercial",Installer_Database!H40))),AND(Customer_Profile!$B$8="School",ISNUMBER(SEARCH("Commercial",Installer_Database!H40)))),8,0)))</f>
        <v>0</v>
      </c>
      <c r="F40">
        <f>IF(C40="","",IFERROR(IF(VALUE(LEFT(Customer_Profile!$B$19,FIND("-",Customer_Profile!$B$19&amp;"-")-1))&lt;=Installer_Database!J40,15,IF(VALUE(LEFT(Customer_Profile!$B$19,FIND("-",Customer_Profile!$B$19&amp;"-")-1))&lt;=Installer_Database!J40*1.25,10,5)),8))</f>
        <v>5</v>
      </c>
      <c r="G40">
        <f>IF(C40="","",IF(Installer_Database!V40="Excellent",15,IF(Installer_Database!V40="Good",12,IF(Installer_Database!V40="Acceptable",8,IF(Installer_Database!V40="Weak",4,IF(Installer_Database!V40="Unverified",5,5))))))</f>
        <v>5</v>
      </c>
      <c r="H40">
        <f>IF(C40="","",IF(Installer_Database!K40="Strong",10,IF(Installer_Database!K40="Moderate",7,IF(Installer_Database!K40="Basic",4,IF(Installer_Database!K40="No",0,5)))))</f>
        <v>5</v>
      </c>
      <c r="I40">
        <f>IF(C40="","",IF(Installer_Database!W40="Excellent",10,IF(Installer_Database!W40="Good",8,IF(Installer_Database!W40="Acceptable",5,IF(Installer_Database!W40="Weak",2,IF(Installer_Database!W40="Unverified",4,4))))))</f>
        <v>4</v>
      </c>
      <c r="J40">
        <f>IF(C40="","",IF(Installer_Database!S40="Excellent",10,IF(Installer_Database!S40="Good",8,IF(Installer_Database!S40="Acceptable",5,IF(Installer_Database!S40="Weak",2,IF(Installer_Database!S40="Unverified",4,IF(Installer_Database!S40="Strong",10,IF(Installer_Database!S40="Basic",5,4))))))))</f>
        <v>4</v>
      </c>
      <c r="K40">
        <f>IF(C40="","",IF(Installer_Database!T40="Same day",5,IF(Installer_Database!T40="24-48 hours",4,IF(Installer_Database!T40="2-3 days",3,IF(Installer_Database!T40="Slow",1,2)))))</f>
        <v>2</v>
      </c>
      <c r="L40">
        <f>IF(C40="","",IF(Installer_Database!U40=Customer_Profile!$B$12,5,IF(OR(Installer_Database!U40="Mid-range",Customer_Profile!$B$12="Unknown"),3,1)))</f>
        <v>1</v>
      </c>
      <c r="M40" s="47">
        <f t="shared" si="0"/>
        <v>26</v>
      </c>
      <c r="N40" s="47">
        <f>100</f>
        <v>100</v>
      </c>
      <c r="O40" s="35">
        <f t="shared" si="1"/>
        <v>0.26</v>
      </c>
      <c r="P40" t="str">
        <f t="shared" si="2"/>
        <v>Do Not Recommend</v>
      </c>
      <c r="Q40" t="str">
        <f t="shared" si="3"/>
        <v>No</v>
      </c>
      <c r="R40" t="str">
        <f t="shared" si="4"/>
        <v/>
      </c>
      <c r="S40">
        <f>IF(C40="","",Installer_Database!Z40)</f>
        <v>0</v>
      </c>
      <c r="T40">
        <f t="shared" si="5"/>
        <v>7</v>
      </c>
    </row>
    <row r="41" spans="1:20">
      <c r="A41" t="str">
        <f>[1]Installer_Database!A41</f>
        <v>INST-037</v>
      </c>
      <c r="B41">
        <f>Installer_Database!Y41</f>
        <v>0</v>
      </c>
      <c r="C41">
        <f>Installer_Database!B41</f>
        <v>0</v>
      </c>
      <c r="D41">
        <f>IF(C41="","",IF(ISNUMBER(SEARCH(Customer_Profile!$B$11,Installer_Database!G41)),15,IF(ISNUMBER(SEARCH(Customer_Profile!$B$10,Installer_Database!F41)),12,IF(ISNUMBER(SEARCH("National",Installer_Database!F41)),7,0))))</f>
        <v>0</v>
      </c>
      <c r="E41">
        <f>IF(C41="","",IF(ISNUMBER(SEARCH(Customer_Profile!$B$8,Installer_Database!H41)),15,IF(OR(AND(Customer_Profile!$B$8="Hospital",ISNUMBER(SEARCH("Commercial",Installer_Database!H41))),AND(Customer_Profile!$B$8="Hotel",ISNUMBER(SEARCH("Commercial",Installer_Database!H41))),AND(Customer_Profile!$B$8="School",ISNUMBER(SEARCH("Commercial",Installer_Database!H41)))),8,0)))</f>
        <v>0</v>
      </c>
      <c r="F41">
        <f>IF(C41="","",IFERROR(IF(VALUE(LEFT(Customer_Profile!$B$19,FIND("-",Customer_Profile!$B$19&amp;"-")-1))&lt;=Installer_Database!J41,15,IF(VALUE(LEFT(Customer_Profile!$B$19,FIND("-",Customer_Profile!$B$19&amp;"-")-1))&lt;=Installer_Database!J41*1.25,10,5)),8))</f>
        <v>5</v>
      </c>
      <c r="G41">
        <f>IF(C41="","",IF(Installer_Database!V41="Excellent",15,IF(Installer_Database!V41="Good",12,IF(Installer_Database!V41="Acceptable",8,IF(Installer_Database!V41="Weak",4,IF(Installer_Database!V41="Unverified",5,5))))))</f>
        <v>5</v>
      </c>
      <c r="H41">
        <f>IF(C41="","",IF(Installer_Database!K41="Strong",10,IF(Installer_Database!K41="Moderate",7,IF(Installer_Database!K41="Basic",4,IF(Installer_Database!K41="No",0,5)))))</f>
        <v>5</v>
      </c>
      <c r="I41">
        <f>IF(C41="","",IF(Installer_Database!W41="Excellent",10,IF(Installer_Database!W41="Good",8,IF(Installer_Database!W41="Acceptable",5,IF(Installer_Database!W41="Weak",2,IF(Installer_Database!W41="Unverified",4,4))))))</f>
        <v>4</v>
      </c>
      <c r="J41">
        <f>IF(C41="","",IF(Installer_Database!S41="Excellent",10,IF(Installer_Database!S41="Good",8,IF(Installer_Database!S41="Acceptable",5,IF(Installer_Database!S41="Weak",2,IF(Installer_Database!S41="Unverified",4,IF(Installer_Database!S41="Strong",10,IF(Installer_Database!S41="Basic",5,4))))))))</f>
        <v>4</v>
      </c>
      <c r="K41">
        <f>IF(C41="","",IF(Installer_Database!T41="Same day",5,IF(Installer_Database!T41="24-48 hours",4,IF(Installer_Database!T41="2-3 days",3,IF(Installer_Database!T41="Slow",1,2)))))</f>
        <v>2</v>
      </c>
      <c r="L41">
        <f>IF(C41="","",IF(Installer_Database!U41=Customer_Profile!$B$12,5,IF(OR(Installer_Database!U41="Mid-range",Customer_Profile!$B$12="Unknown"),3,1)))</f>
        <v>1</v>
      </c>
      <c r="M41" s="47">
        <f t="shared" si="0"/>
        <v>26</v>
      </c>
      <c r="N41" s="47">
        <f>100</f>
        <v>100</v>
      </c>
      <c r="O41" s="35">
        <f t="shared" si="1"/>
        <v>0.26</v>
      </c>
      <c r="P41" t="str">
        <f t="shared" si="2"/>
        <v>Do Not Recommend</v>
      </c>
      <c r="Q41" t="str">
        <f t="shared" si="3"/>
        <v>No</v>
      </c>
      <c r="R41" t="str">
        <f t="shared" si="4"/>
        <v/>
      </c>
      <c r="S41">
        <f>IF(C41="","",Installer_Database!Z41)</f>
        <v>0</v>
      </c>
      <c r="T41">
        <f t="shared" si="5"/>
        <v>7</v>
      </c>
    </row>
    <row r="42" spans="1:20">
      <c r="A42" t="str">
        <f>[1]Installer_Database!A42</f>
        <v>INST-038</v>
      </c>
      <c r="B42">
        <f>Installer_Database!Y42</f>
        <v>0</v>
      </c>
      <c r="C42">
        <f>Installer_Database!B42</f>
        <v>0</v>
      </c>
      <c r="D42">
        <f>IF(C42="","",IF(ISNUMBER(SEARCH(Customer_Profile!$B$11,Installer_Database!G42)),15,IF(ISNUMBER(SEARCH(Customer_Profile!$B$10,Installer_Database!F42)),12,IF(ISNUMBER(SEARCH("National",Installer_Database!F42)),7,0))))</f>
        <v>0</v>
      </c>
      <c r="E42">
        <f>IF(C42="","",IF(ISNUMBER(SEARCH(Customer_Profile!$B$8,Installer_Database!H42)),15,IF(OR(AND(Customer_Profile!$B$8="Hospital",ISNUMBER(SEARCH("Commercial",Installer_Database!H42))),AND(Customer_Profile!$B$8="Hotel",ISNUMBER(SEARCH("Commercial",Installer_Database!H42))),AND(Customer_Profile!$B$8="School",ISNUMBER(SEARCH("Commercial",Installer_Database!H42)))),8,0)))</f>
        <v>0</v>
      </c>
      <c r="F42">
        <f>IF(C42="","",IFERROR(IF(VALUE(LEFT(Customer_Profile!$B$19,FIND("-",Customer_Profile!$B$19&amp;"-")-1))&lt;=Installer_Database!J42,15,IF(VALUE(LEFT(Customer_Profile!$B$19,FIND("-",Customer_Profile!$B$19&amp;"-")-1))&lt;=Installer_Database!J42*1.25,10,5)),8))</f>
        <v>5</v>
      </c>
      <c r="G42">
        <f>IF(C42="","",IF(Installer_Database!V42="Excellent",15,IF(Installer_Database!V42="Good",12,IF(Installer_Database!V42="Acceptable",8,IF(Installer_Database!V42="Weak",4,IF(Installer_Database!V42="Unverified",5,5))))))</f>
        <v>5</v>
      </c>
      <c r="H42">
        <f>IF(C42="","",IF(Installer_Database!K42="Strong",10,IF(Installer_Database!K42="Moderate",7,IF(Installer_Database!K42="Basic",4,IF(Installer_Database!K42="No",0,5)))))</f>
        <v>5</v>
      </c>
      <c r="I42">
        <f>IF(C42="","",IF(Installer_Database!W42="Excellent",10,IF(Installer_Database!W42="Good",8,IF(Installer_Database!W42="Acceptable",5,IF(Installer_Database!W42="Weak",2,IF(Installer_Database!W42="Unverified",4,4))))))</f>
        <v>4</v>
      </c>
      <c r="J42">
        <f>IF(C42="","",IF(Installer_Database!S42="Excellent",10,IF(Installer_Database!S42="Good",8,IF(Installer_Database!S42="Acceptable",5,IF(Installer_Database!S42="Weak",2,IF(Installer_Database!S42="Unverified",4,IF(Installer_Database!S42="Strong",10,IF(Installer_Database!S42="Basic",5,4))))))))</f>
        <v>4</v>
      </c>
      <c r="K42">
        <f>IF(C42="","",IF(Installer_Database!T42="Same day",5,IF(Installer_Database!T42="24-48 hours",4,IF(Installer_Database!T42="2-3 days",3,IF(Installer_Database!T42="Slow",1,2)))))</f>
        <v>2</v>
      </c>
      <c r="L42">
        <f>IF(C42="","",IF(Installer_Database!U42=Customer_Profile!$B$12,5,IF(OR(Installer_Database!U42="Mid-range",Customer_Profile!$B$12="Unknown"),3,1)))</f>
        <v>1</v>
      </c>
      <c r="M42" s="47">
        <f t="shared" si="0"/>
        <v>26</v>
      </c>
      <c r="N42" s="47">
        <f>100</f>
        <v>100</v>
      </c>
      <c r="O42" s="35">
        <f t="shared" si="1"/>
        <v>0.26</v>
      </c>
      <c r="P42" t="str">
        <f t="shared" si="2"/>
        <v>Do Not Recommend</v>
      </c>
      <c r="Q42" t="str">
        <f t="shared" si="3"/>
        <v>No</v>
      </c>
      <c r="R42" t="str">
        <f t="shared" si="4"/>
        <v/>
      </c>
      <c r="S42">
        <f>IF(C42="","",Installer_Database!Z42)</f>
        <v>0</v>
      </c>
      <c r="T42">
        <f t="shared" si="5"/>
        <v>7</v>
      </c>
    </row>
    <row r="43" spans="1:20">
      <c r="A43" t="str">
        <f>[1]Installer_Database!A43</f>
        <v>INST-039</v>
      </c>
      <c r="B43">
        <f>Installer_Database!Y43</f>
        <v>0</v>
      </c>
      <c r="C43">
        <f>Installer_Database!B43</f>
        <v>0</v>
      </c>
      <c r="D43">
        <f>IF(C43="","",IF(ISNUMBER(SEARCH(Customer_Profile!$B$11,Installer_Database!G43)),15,IF(ISNUMBER(SEARCH(Customer_Profile!$B$10,Installer_Database!F43)),12,IF(ISNUMBER(SEARCH("National",Installer_Database!F43)),7,0))))</f>
        <v>0</v>
      </c>
      <c r="E43">
        <f>IF(C43="","",IF(ISNUMBER(SEARCH(Customer_Profile!$B$8,Installer_Database!H43)),15,IF(OR(AND(Customer_Profile!$B$8="Hospital",ISNUMBER(SEARCH("Commercial",Installer_Database!H43))),AND(Customer_Profile!$B$8="Hotel",ISNUMBER(SEARCH("Commercial",Installer_Database!H43))),AND(Customer_Profile!$B$8="School",ISNUMBER(SEARCH("Commercial",Installer_Database!H43)))),8,0)))</f>
        <v>0</v>
      </c>
      <c r="F43">
        <f>IF(C43="","",IFERROR(IF(VALUE(LEFT(Customer_Profile!$B$19,FIND("-",Customer_Profile!$B$19&amp;"-")-1))&lt;=Installer_Database!J43,15,IF(VALUE(LEFT(Customer_Profile!$B$19,FIND("-",Customer_Profile!$B$19&amp;"-")-1))&lt;=Installer_Database!J43*1.25,10,5)),8))</f>
        <v>5</v>
      </c>
      <c r="G43">
        <f>IF(C43="","",IF(Installer_Database!V43="Excellent",15,IF(Installer_Database!V43="Good",12,IF(Installer_Database!V43="Acceptable",8,IF(Installer_Database!V43="Weak",4,IF(Installer_Database!V43="Unverified",5,5))))))</f>
        <v>5</v>
      </c>
      <c r="H43">
        <f>IF(C43="","",IF(Installer_Database!K43="Strong",10,IF(Installer_Database!K43="Moderate",7,IF(Installer_Database!K43="Basic",4,IF(Installer_Database!K43="No",0,5)))))</f>
        <v>5</v>
      </c>
      <c r="I43">
        <f>IF(C43="","",IF(Installer_Database!W43="Excellent",10,IF(Installer_Database!W43="Good",8,IF(Installer_Database!W43="Acceptable",5,IF(Installer_Database!W43="Weak",2,IF(Installer_Database!W43="Unverified",4,4))))))</f>
        <v>4</v>
      </c>
      <c r="J43">
        <f>IF(C43="","",IF(Installer_Database!S43="Excellent",10,IF(Installer_Database!S43="Good",8,IF(Installer_Database!S43="Acceptable",5,IF(Installer_Database!S43="Weak",2,IF(Installer_Database!S43="Unverified",4,IF(Installer_Database!S43="Strong",10,IF(Installer_Database!S43="Basic",5,4))))))))</f>
        <v>4</v>
      </c>
      <c r="K43">
        <f>IF(C43="","",IF(Installer_Database!T43="Same day",5,IF(Installer_Database!T43="24-48 hours",4,IF(Installer_Database!T43="2-3 days",3,IF(Installer_Database!T43="Slow",1,2)))))</f>
        <v>2</v>
      </c>
      <c r="L43">
        <f>IF(C43="","",IF(Installer_Database!U43=Customer_Profile!$B$12,5,IF(OR(Installer_Database!U43="Mid-range",Customer_Profile!$B$12="Unknown"),3,1)))</f>
        <v>1</v>
      </c>
      <c r="M43" s="47">
        <f t="shared" si="0"/>
        <v>26</v>
      </c>
      <c r="N43" s="47">
        <f>100</f>
        <v>100</v>
      </c>
      <c r="O43" s="35">
        <f t="shared" si="1"/>
        <v>0.26</v>
      </c>
      <c r="P43" t="str">
        <f t="shared" si="2"/>
        <v>Do Not Recommend</v>
      </c>
      <c r="Q43" t="str">
        <f t="shared" si="3"/>
        <v>No</v>
      </c>
      <c r="R43" t="str">
        <f t="shared" si="4"/>
        <v/>
      </c>
      <c r="S43">
        <f>IF(C43="","",Installer_Database!Z43)</f>
        <v>0</v>
      </c>
      <c r="T43">
        <f t="shared" si="5"/>
        <v>7</v>
      </c>
    </row>
    <row r="44" spans="1:20">
      <c r="A44" t="str">
        <f>[1]Installer_Database!A44</f>
        <v>INST-040</v>
      </c>
      <c r="B44">
        <f>Installer_Database!Y44</f>
        <v>0</v>
      </c>
      <c r="C44">
        <f>Installer_Database!B44</f>
        <v>0</v>
      </c>
      <c r="D44">
        <f>IF(C44="","",IF(ISNUMBER(SEARCH(Customer_Profile!$B$11,Installer_Database!G44)),15,IF(ISNUMBER(SEARCH(Customer_Profile!$B$10,Installer_Database!F44)),12,IF(ISNUMBER(SEARCH("National",Installer_Database!F44)),7,0))))</f>
        <v>0</v>
      </c>
      <c r="E44">
        <f>IF(C44="","",IF(ISNUMBER(SEARCH(Customer_Profile!$B$8,Installer_Database!H44)),15,IF(OR(AND(Customer_Profile!$B$8="Hospital",ISNUMBER(SEARCH("Commercial",Installer_Database!H44))),AND(Customer_Profile!$B$8="Hotel",ISNUMBER(SEARCH("Commercial",Installer_Database!H44))),AND(Customer_Profile!$B$8="School",ISNUMBER(SEARCH("Commercial",Installer_Database!H44)))),8,0)))</f>
        <v>0</v>
      </c>
      <c r="F44">
        <f>IF(C44="","",IFERROR(IF(VALUE(LEFT(Customer_Profile!$B$19,FIND("-",Customer_Profile!$B$19&amp;"-")-1))&lt;=Installer_Database!J44,15,IF(VALUE(LEFT(Customer_Profile!$B$19,FIND("-",Customer_Profile!$B$19&amp;"-")-1))&lt;=Installer_Database!J44*1.25,10,5)),8))</f>
        <v>5</v>
      </c>
      <c r="G44">
        <f>IF(C44="","",IF(Installer_Database!V44="Excellent",15,IF(Installer_Database!V44="Good",12,IF(Installer_Database!V44="Acceptable",8,IF(Installer_Database!V44="Weak",4,IF(Installer_Database!V44="Unverified",5,5))))))</f>
        <v>5</v>
      </c>
      <c r="H44">
        <f>IF(C44="","",IF(Installer_Database!K44="Strong",10,IF(Installer_Database!K44="Moderate",7,IF(Installer_Database!K44="Basic",4,IF(Installer_Database!K44="No",0,5)))))</f>
        <v>5</v>
      </c>
      <c r="I44">
        <f>IF(C44="","",IF(Installer_Database!W44="Excellent",10,IF(Installer_Database!W44="Good",8,IF(Installer_Database!W44="Acceptable",5,IF(Installer_Database!W44="Weak",2,IF(Installer_Database!W44="Unverified",4,4))))))</f>
        <v>4</v>
      </c>
      <c r="J44">
        <f>IF(C44="","",IF(Installer_Database!S44="Excellent",10,IF(Installer_Database!S44="Good",8,IF(Installer_Database!S44="Acceptable",5,IF(Installer_Database!S44="Weak",2,IF(Installer_Database!S44="Unverified",4,IF(Installer_Database!S44="Strong",10,IF(Installer_Database!S44="Basic",5,4))))))))</f>
        <v>4</v>
      </c>
      <c r="K44">
        <f>IF(C44="","",IF(Installer_Database!T44="Same day",5,IF(Installer_Database!T44="24-48 hours",4,IF(Installer_Database!T44="2-3 days",3,IF(Installer_Database!T44="Slow",1,2)))))</f>
        <v>2</v>
      </c>
      <c r="L44">
        <f>IF(C44="","",IF(Installer_Database!U44=Customer_Profile!$B$12,5,IF(OR(Installer_Database!U44="Mid-range",Customer_Profile!$B$12="Unknown"),3,1)))</f>
        <v>1</v>
      </c>
      <c r="M44" s="47">
        <f t="shared" si="0"/>
        <v>26</v>
      </c>
      <c r="N44" s="47">
        <f>100</f>
        <v>100</v>
      </c>
      <c r="O44" s="35">
        <f t="shared" si="1"/>
        <v>0.26</v>
      </c>
      <c r="P44" t="str">
        <f t="shared" si="2"/>
        <v>Do Not Recommend</v>
      </c>
      <c r="Q44" t="str">
        <f t="shared" si="3"/>
        <v>No</v>
      </c>
      <c r="R44" t="str">
        <f t="shared" si="4"/>
        <v/>
      </c>
      <c r="S44">
        <f>IF(C44="","",Installer_Database!Z44)</f>
        <v>0</v>
      </c>
      <c r="T44">
        <f t="shared" si="5"/>
        <v>7</v>
      </c>
    </row>
    <row r="45" spans="1:20">
      <c r="A45" t="str">
        <f>[1]Installer_Database!A45</f>
        <v>INST-041</v>
      </c>
      <c r="B45">
        <f>Installer_Database!Y45</f>
        <v>0</v>
      </c>
      <c r="C45">
        <f>Installer_Database!B45</f>
        <v>0</v>
      </c>
      <c r="D45">
        <f>IF(C45="","",IF(ISNUMBER(SEARCH(Customer_Profile!$B$11,Installer_Database!G45)),15,IF(ISNUMBER(SEARCH(Customer_Profile!$B$10,Installer_Database!F45)),12,IF(ISNUMBER(SEARCH("National",Installer_Database!F45)),7,0))))</f>
        <v>0</v>
      </c>
      <c r="E45">
        <f>IF(C45="","",IF(ISNUMBER(SEARCH(Customer_Profile!$B$8,Installer_Database!H45)),15,IF(OR(AND(Customer_Profile!$B$8="Hospital",ISNUMBER(SEARCH("Commercial",Installer_Database!H45))),AND(Customer_Profile!$B$8="Hotel",ISNUMBER(SEARCH("Commercial",Installer_Database!H45))),AND(Customer_Profile!$B$8="School",ISNUMBER(SEARCH("Commercial",Installer_Database!H45)))),8,0)))</f>
        <v>0</v>
      </c>
      <c r="F45">
        <f>IF(C45="","",IFERROR(IF(VALUE(LEFT(Customer_Profile!$B$19,FIND("-",Customer_Profile!$B$19&amp;"-")-1))&lt;=Installer_Database!J45,15,IF(VALUE(LEFT(Customer_Profile!$B$19,FIND("-",Customer_Profile!$B$19&amp;"-")-1))&lt;=Installer_Database!J45*1.25,10,5)),8))</f>
        <v>5</v>
      </c>
      <c r="G45">
        <f>IF(C45="","",IF(Installer_Database!V45="Excellent",15,IF(Installer_Database!V45="Good",12,IF(Installer_Database!V45="Acceptable",8,IF(Installer_Database!V45="Weak",4,IF(Installer_Database!V45="Unverified",5,5))))))</f>
        <v>5</v>
      </c>
      <c r="H45">
        <f>IF(C45="","",IF(Installer_Database!K45="Strong",10,IF(Installer_Database!K45="Moderate",7,IF(Installer_Database!K45="Basic",4,IF(Installer_Database!K45="No",0,5)))))</f>
        <v>5</v>
      </c>
      <c r="I45">
        <f>IF(C45="","",IF(Installer_Database!W45="Excellent",10,IF(Installer_Database!W45="Good",8,IF(Installer_Database!W45="Acceptable",5,IF(Installer_Database!W45="Weak",2,IF(Installer_Database!W45="Unverified",4,4))))))</f>
        <v>4</v>
      </c>
      <c r="J45">
        <f>IF(C45="","",IF(Installer_Database!S45="Excellent",10,IF(Installer_Database!S45="Good",8,IF(Installer_Database!S45="Acceptable",5,IF(Installer_Database!S45="Weak",2,IF(Installer_Database!S45="Unverified",4,IF(Installer_Database!S45="Strong",10,IF(Installer_Database!S45="Basic",5,4))))))))</f>
        <v>4</v>
      </c>
      <c r="K45">
        <f>IF(C45="","",IF(Installer_Database!T45="Same day",5,IF(Installer_Database!T45="24-48 hours",4,IF(Installer_Database!T45="2-3 days",3,IF(Installer_Database!T45="Slow",1,2)))))</f>
        <v>2</v>
      </c>
      <c r="L45">
        <f>IF(C45="","",IF(Installer_Database!U45=Customer_Profile!$B$12,5,IF(OR(Installer_Database!U45="Mid-range",Customer_Profile!$B$12="Unknown"),3,1)))</f>
        <v>1</v>
      </c>
      <c r="M45" s="47">
        <f t="shared" si="0"/>
        <v>26</v>
      </c>
      <c r="N45" s="47">
        <f>100</f>
        <v>100</v>
      </c>
      <c r="O45" s="35">
        <f t="shared" si="1"/>
        <v>0.26</v>
      </c>
      <c r="P45" t="str">
        <f t="shared" si="2"/>
        <v>Do Not Recommend</v>
      </c>
      <c r="Q45" t="str">
        <f t="shared" si="3"/>
        <v>No</v>
      </c>
      <c r="R45" t="str">
        <f t="shared" si="4"/>
        <v/>
      </c>
      <c r="S45">
        <f>IF(C45="","",Installer_Database!Z45)</f>
        <v>0</v>
      </c>
      <c r="T45">
        <f t="shared" si="5"/>
        <v>7</v>
      </c>
    </row>
    <row r="46" spans="1:20">
      <c r="A46" t="str">
        <f>[1]Installer_Database!A46</f>
        <v>INST-042</v>
      </c>
      <c r="B46">
        <f>Installer_Database!Y46</f>
        <v>0</v>
      </c>
      <c r="C46">
        <f>Installer_Database!B46</f>
        <v>0</v>
      </c>
      <c r="D46">
        <f>IF(C46="","",IF(ISNUMBER(SEARCH(Customer_Profile!$B$11,Installer_Database!G46)),15,IF(ISNUMBER(SEARCH(Customer_Profile!$B$10,Installer_Database!F46)),12,IF(ISNUMBER(SEARCH("National",Installer_Database!F46)),7,0))))</f>
        <v>0</v>
      </c>
      <c r="E46">
        <f>IF(C46="","",IF(ISNUMBER(SEARCH(Customer_Profile!$B$8,Installer_Database!H46)),15,IF(OR(AND(Customer_Profile!$B$8="Hospital",ISNUMBER(SEARCH("Commercial",Installer_Database!H46))),AND(Customer_Profile!$B$8="Hotel",ISNUMBER(SEARCH("Commercial",Installer_Database!H46))),AND(Customer_Profile!$B$8="School",ISNUMBER(SEARCH("Commercial",Installer_Database!H46)))),8,0)))</f>
        <v>0</v>
      </c>
      <c r="F46">
        <f>IF(C46="","",IFERROR(IF(VALUE(LEFT(Customer_Profile!$B$19,FIND("-",Customer_Profile!$B$19&amp;"-")-1))&lt;=Installer_Database!J46,15,IF(VALUE(LEFT(Customer_Profile!$B$19,FIND("-",Customer_Profile!$B$19&amp;"-")-1))&lt;=Installer_Database!J46*1.25,10,5)),8))</f>
        <v>5</v>
      </c>
      <c r="G46">
        <f>IF(C46="","",IF(Installer_Database!V46="Excellent",15,IF(Installer_Database!V46="Good",12,IF(Installer_Database!V46="Acceptable",8,IF(Installer_Database!V46="Weak",4,IF(Installer_Database!V46="Unverified",5,5))))))</f>
        <v>5</v>
      </c>
      <c r="H46">
        <f>IF(C46="","",IF(Installer_Database!K46="Strong",10,IF(Installer_Database!K46="Moderate",7,IF(Installer_Database!K46="Basic",4,IF(Installer_Database!K46="No",0,5)))))</f>
        <v>5</v>
      </c>
      <c r="I46">
        <f>IF(C46="","",IF(Installer_Database!W46="Excellent",10,IF(Installer_Database!W46="Good",8,IF(Installer_Database!W46="Acceptable",5,IF(Installer_Database!W46="Weak",2,IF(Installer_Database!W46="Unverified",4,4))))))</f>
        <v>4</v>
      </c>
      <c r="J46">
        <f>IF(C46="","",IF(Installer_Database!S46="Excellent",10,IF(Installer_Database!S46="Good",8,IF(Installer_Database!S46="Acceptable",5,IF(Installer_Database!S46="Weak",2,IF(Installer_Database!S46="Unverified",4,IF(Installer_Database!S46="Strong",10,IF(Installer_Database!S46="Basic",5,4))))))))</f>
        <v>4</v>
      </c>
      <c r="K46">
        <f>IF(C46="","",IF(Installer_Database!T46="Same day",5,IF(Installer_Database!T46="24-48 hours",4,IF(Installer_Database!T46="2-3 days",3,IF(Installer_Database!T46="Slow",1,2)))))</f>
        <v>2</v>
      </c>
      <c r="L46">
        <f>IF(C46="","",IF(Installer_Database!U46=Customer_Profile!$B$12,5,IF(OR(Installer_Database!U46="Mid-range",Customer_Profile!$B$12="Unknown"),3,1)))</f>
        <v>1</v>
      </c>
      <c r="M46" s="47">
        <f t="shared" si="0"/>
        <v>26</v>
      </c>
      <c r="N46" s="47">
        <f>100</f>
        <v>100</v>
      </c>
      <c r="O46" s="35">
        <f t="shared" si="1"/>
        <v>0.26</v>
      </c>
      <c r="P46" t="str">
        <f t="shared" si="2"/>
        <v>Do Not Recommend</v>
      </c>
      <c r="Q46" t="str">
        <f t="shared" si="3"/>
        <v>No</v>
      </c>
      <c r="R46" t="str">
        <f t="shared" si="4"/>
        <v/>
      </c>
      <c r="S46">
        <f>IF(C46="","",Installer_Database!Z46)</f>
        <v>0</v>
      </c>
      <c r="T46">
        <f t="shared" si="5"/>
        <v>7</v>
      </c>
    </row>
    <row r="47" spans="1:20">
      <c r="A47" t="str">
        <f>[1]Installer_Database!A47</f>
        <v>INST-043</v>
      </c>
      <c r="B47">
        <f>Installer_Database!Y47</f>
        <v>0</v>
      </c>
      <c r="C47">
        <f>Installer_Database!B47</f>
        <v>0</v>
      </c>
      <c r="D47">
        <f>IF(C47="","",IF(ISNUMBER(SEARCH(Customer_Profile!$B$11,Installer_Database!G47)),15,IF(ISNUMBER(SEARCH(Customer_Profile!$B$10,Installer_Database!F47)),12,IF(ISNUMBER(SEARCH("National",Installer_Database!F47)),7,0))))</f>
        <v>0</v>
      </c>
      <c r="E47">
        <f>IF(C47="","",IF(ISNUMBER(SEARCH(Customer_Profile!$B$8,Installer_Database!H47)),15,IF(OR(AND(Customer_Profile!$B$8="Hospital",ISNUMBER(SEARCH("Commercial",Installer_Database!H47))),AND(Customer_Profile!$B$8="Hotel",ISNUMBER(SEARCH("Commercial",Installer_Database!H47))),AND(Customer_Profile!$B$8="School",ISNUMBER(SEARCH("Commercial",Installer_Database!H47)))),8,0)))</f>
        <v>0</v>
      </c>
      <c r="F47">
        <f>IF(C47="","",IFERROR(IF(VALUE(LEFT(Customer_Profile!$B$19,FIND("-",Customer_Profile!$B$19&amp;"-")-1))&lt;=Installer_Database!J47,15,IF(VALUE(LEFT(Customer_Profile!$B$19,FIND("-",Customer_Profile!$B$19&amp;"-")-1))&lt;=Installer_Database!J47*1.25,10,5)),8))</f>
        <v>5</v>
      </c>
      <c r="G47">
        <f>IF(C47="","",IF(Installer_Database!V47="Excellent",15,IF(Installer_Database!V47="Good",12,IF(Installer_Database!V47="Acceptable",8,IF(Installer_Database!V47="Weak",4,IF(Installer_Database!V47="Unverified",5,5))))))</f>
        <v>5</v>
      </c>
      <c r="H47">
        <f>IF(C47="","",IF(Installer_Database!K47="Strong",10,IF(Installer_Database!K47="Moderate",7,IF(Installer_Database!K47="Basic",4,IF(Installer_Database!K47="No",0,5)))))</f>
        <v>5</v>
      </c>
      <c r="I47">
        <f>IF(C47="","",IF(Installer_Database!W47="Excellent",10,IF(Installer_Database!W47="Good",8,IF(Installer_Database!W47="Acceptable",5,IF(Installer_Database!W47="Weak",2,IF(Installer_Database!W47="Unverified",4,4))))))</f>
        <v>4</v>
      </c>
      <c r="J47">
        <f>IF(C47="","",IF(Installer_Database!S47="Excellent",10,IF(Installer_Database!S47="Good",8,IF(Installer_Database!S47="Acceptable",5,IF(Installer_Database!S47="Weak",2,IF(Installer_Database!S47="Unverified",4,IF(Installer_Database!S47="Strong",10,IF(Installer_Database!S47="Basic",5,4))))))))</f>
        <v>4</v>
      </c>
      <c r="K47">
        <f>IF(C47="","",IF(Installer_Database!T47="Same day",5,IF(Installer_Database!T47="24-48 hours",4,IF(Installer_Database!T47="2-3 days",3,IF(Installer_Database!T47="Slow",1,2)))))</f>
        <v>2</v>
      </c>
      <c r="L47">
        <f>IF(C47="","",IF(Installer_Database!U47=Customer_Profile!$B$12,5,IF(OR(Installer_Database!U47="Mid-range",Customer_Profile!$B$12="Unknown"),3,1)))</f>
        <v>1</v>
      </c>
      <c r="M47" s="47">
        <f t="shared" si="0"/>
        <v>26</v>
      </c>
      <c r="N47" s="47">
        <f>100</f>
        <v>100</v>
      </c>
      <c r="O47" s="35">
        <f t="shared" si="1"/>
        <v>0.26</v>
      </c>
      <c r="P47" t="str">
        <f t="shared" si="2"/>
        <v>Do Not Recommend</v>
      </c>
      <c r="Q47" t="str">
        <f t="shared" si="3"/>
        <v>No</v>
      </c>
      <c r="R47" t="str">
        <f t="shared" si="4"/>
        <v/>
      </c>
      <c r="S47">
        <f>IF(C47="","",Installer_Database!Z47)</f>
        <v>0</v>
      </c>
      <c r="T47">
        <f t="shared" si="5"/>
        <v>7</v>
      </c>
    </row>
    <row r="48" spans="1:20">
      <c r="A48" t="str">
        <f>[1]Installer_Database!A48</f>
        <v>INST-044</v>
      </c>
      <c r="B48">
        <f>Installer_Database!Y48</f>
        <v>0</v>
      </c>
      <c r="C48">
        <f>Installer_Database!B48</f>
        <v>0</v>
      </c>
      <c r="D48">
        <f>IF(C48="","",IF(ISNUMBER(SEARCH(Customer_Profile!$B$11,Installer_Database!G48)),15,IF(ISNUMBER(SEARCH(Customer_Profile!$B$10,Installer_Database!F48)),12,IF(ISNUMBER(SEARCH("National",Installer_Database!F48)),7,0))))</f>
        <v>0</v>
      </c>
      <c r="E48">
        <f>IF(C48="","",IF(ISNUMBER(SEARCH(Customer_Profile!$B$8,Installer_Database!H48)),15,IF(OR(AND(Customer_Profile!$B$8="Hospital",ISNUMBER(SEARCH("Commercial",Installer_Database!H48))),AND(Customer_Profile!$B$8="Hotel",ISNUMBER(SEARCH("Commercial",Installer_Database!H48))),AND(Customer_Profile!$B$8="School",ISNUMBER(SEARCH("Commercial",Installer_Database!H48)))),8,0)))</f>
        <v>0</v>
      </c>
      <c r="F48">
        <f>IF(C48="","",IFERROR(IF(VALUE(LEFT(Customer_Profile!$B$19,FIND("-",Customer_Profile!$B$19&amp;"-")-1))&lt;=Installer_Database!J48,15,IF(VALUE(LEFT(Customer_Profile!$B$19,FIND("-",Customer_Profile!$B$19&amp;"-")-1))&lt;=Installer_Database!J48*1.25,10,5)),8))</f>
        <v>5</v>
      </c>
      <c r="G48">
        <f>IF(C48="","",IF(Installer_Database!V48="Excellent",15,IF(Installer_Database!V48="Good",12,IF(Installer_Database!V48="Acceptable",8,IF(Installer_Database!V48="Weak",4,IF(Installer_Database!V48="Unverified",5,5))))))</f>
        <v>5</v>
      </c>
      <c r="H48">
        <f>IF(C48="","",IF(Installer_Database!K48="Strong",10,IF(Installer_Database!K48="Moderate",7,IF(Installer_Database!K48="Basic",4,IF(Installer_Database!K48="No",0,5)))))</f>
        <v>5</v>
      </c>
      <c r="I48">
        <f>IF(C48="","",IF(Installer_Database!W48="Excellent",10,IF(Installer_Database!W48="Good",8,IF(Installer_Database!W48="Acceptable",5,IF(Installer_Database!W48="Weak",2,IF(Installer_Database!W48="Unverified",4,4))))))</f>
        <v>4</v>
      </c>
      <c r="J48">
        <f>IF(C48="","",IF(Installer_Database!S48="Excellent",10,IF(Installer_Database!S48="Good",8,IF(Installer_Database!S48="Acceptable",5,IF(Installer_Database!S48="Weak",2,IF(Installer_Database!S48="Unverified",4,IF(Installer_Database!S48="Strong",10,IF(Installer_Database!S48="Basic",5,4))))))))</f>
        <v>4</v>
      </c>
      <c r="K48">
        <f>IF(C48="","",IF(Installer_Database!T48="Same day",5,IF(Installer_Database!T48="24-48 hours",4,IF(Installer_Database!T48="2-3 days",3,IF(Installer_Database!T48="Slow",1,2)))))</f>
        <v>2</v>
      </c>
      <c r="L48">
        <f>IF(C48="","",IF(Installer_Database!U48=Customer_Profile!$B$12,5,IF(OR(Installer_Database!U48="Mid-range",Customer_Profile!$B$12="Unknown"),3,1)))</f>
        <v>1</v>
      </c>
      <c r="M48" s="47">
        <f t="shared" si="0"/>
        <v>26</v>
      </c>
      <c r="N48" s="47">
        <f>100</f>
        <v>100</v>
      </c>
      <c r="O48" s="35">
        <f t="shared" si="1"/>
        <v>0.26</v>
      </c>
      <c r="P48" t="str">
        <f t="shared" si="2"/>
        <v>Do Not Recommend</v>
      </c>
      <c r="Q48" t="str">
        <f t="shared" si="3"/>
        <v>No</v>
      </c>
      <c r="R48" t="str">
        <f t="shared" si="4"/>
        <v/>
      </c>
      <c r="S48">
        <f>IF(C48="","",Installer_Database!Z48)</f>
        <v>0</v>
      </c>
      <c r="T48">
        <f t="shared" si="5"/>
        <v>7</v>
      </c>
    </row>
    <row r="49" spans="1:20">
      <c r="A49" t="str">
        <f>[1]Installer_Database!A49</f>
        <v>INST-045</v>
      </c>
      <c r="B49">
        <f>Installer_Database!Y49</f>
        <v>0</v>
      </c>
      <c r="C49">
        <f>Installer_Database!B49</f>
        <v>0</v>
      </c>
      <c r="D49">
        <f>IF(C49="","",IF(ISNUMBER(SEARCH(Customer_Profile!$B$11,Installer_Database!G49)),15,IF(ISNUMBER(SEARCH(Customer_Profile!$B$10,Installer_Database!F49)),12,IF(ISNUMBER(SEARCH("National",Installer_Database!F49)),7,0))))</f>
        <v>0</v>
      </c>
      <c r="E49">
        <f>IF(C49="","",IF(ISNUMBER(SEARCH(Customer_Profile!$B$8,Installer_Database!H49)),15,IF(OR(AND(Customer_Profile!$B$8="Hospital",ISNUMBER(SEARCH("Commercial",Installer_Database!H49))),AND(Customer_Profile!$B$8="Hotel",ISNUMBER(SEARCH("Commercial",Installer_Database!H49))),AND(Customer_Profile!$B$8="School",ISNUMBER(SEARCH("Commercial",Installer_Database!H49)))),8,0)))</f>
        <v>0</v>
      </c>
      <c r="F49">
        <f>IF(C49="","",IFERROR(IF(VALUE(LEFT(Customer_Profile!$B$19,FIND("-",Customer_Profile!$B$19&amp;"-")-1))&lt;=Installer_Database!J49,15,IF(VALUE(LEFT(Customer_Profile!$B$19,FIND("-",Customer_Profile!$B$19&amp;"-")-1))&lt;=Installer_Database!J49*1.25,10,5)),8))</f>
        <v>5</v>
      </c>
      <c r="G49">
        <f>IF(C49="","",IF(Installer_Database!V49="Excellent",15,IF(Installer_Database!V49="Good",12,IF(Installer_Database!V49="Acceptable",8,IF(Installer_Database!V49="Weak",4,IF(Installer_Database!V49="Unverified",5,5))))))</f>
        <v>5</v>
      </c>
      <c r="H49">
        <f>IF(C49="","",IF(Installer_Database!K49="Strong",10,IF(Installer_Database!K49="Moderate",7,IF(Installer_Database!K49="Basic",4,IF(Installer_Database!K49="No",0,5)))))</f>
        <v>5</v>
      </c>
      <c r="I49">
        <f>IF(C49="","",IF(Installer_Database!W49="Excellent",10,IF(Installer_Database!W49="Good",8,IF(Installer_Database!W49="Acceptable",5,IF(Installer_Database!W49="Weak",2,IF(Installer_Database!W49="Unverified",4,4))))))</f>
        <v>4</v>
      </c>
      <c r="J49">
        <f>IF(C49="","",IF(Installer_Database!S49="Excellent",10,IF(Installer_Database!S49="Good",8,IF(Installer_Database!S49="Acceptable",5,IF(Installer_Database!S49="Weak",2,IF(Installer_Database!S49="Unverified",4,IF(Installer_Database!S49="Strong",10,IF(Installer_Database!S49="Basic",5,4))))))))</f>
        <v>4</v>
      </c>
      <c r="K49">
        <f>IF(C49="","",IF(Installer_Database!T49="Same day",5,IF(Installer_Database!T49="24-48 hours",4,IF(Installer_Database!T49="2-3 days",3,IF(Installer_Database!T49="Slow",1,2)))))</f>
        <v>2</v>
      </c>
      <c r="L49">
        <f>IF(C49="","",IF(Installer_Database!U49=Customer_Profile!$B$12,5,IF(OR(Installer_Database!U49="Mid-range",Customer_Profile!$B$12="Unknown"),3,1)))</f>
        <v>1</v>
      </c>
      <c r="M49" s="47">
        <f t="shared" si="0"/>
        <v>26</v>
      </c>
      <c r="N49" s="47">
        <f>100</f>
        <v>100</v>
      </c>
      <c r="O49" s="35">
        <f t="shared" si="1"/>
        <v>0.26</v>
      </c>
      <c r="P49" t="str">
        <f t="shared" si="2"/>
        <v>Do Not Recommend</v>
      </c>
      <c r="Q49" t="str">
        <f t="shared" si="3"/>
        <v>No</v>
      </c>
      <c r="R49" t="str">
        <f t="shared" si="4"/>
        <v/>
      </c>
      <c r="S49">
        <f>IF(C49="","",Installer_Database!Z49)</f>
        <v>0</v>
      </c>
      <c r="T49">
        <f t="shared" si="5"/>
        <v>7</v>
      </c>
    </row>
    <row r="50" spans="1:20">
      <c r="A50" t="str">
        <f>[1]Installer_Database!A50</f>
        <v>INST-046</v>
      </c>
      <c r="B50">
        <f>Installer_Database!Y50</f>
        <v>0</v>
      </c>
      <c r="C50">
        <f>Installer_Database!B50</f>
        <v>0</v>
      </c>
      <c r="D50">
        <f>IF(C50="","",IF(ISNUMBER(SEARCH(Customer_Profile!$B$11,Installer_Database!G50)),15,IF(ISNUMBER(SEARCH(Customer_Profile!$B$10,Installer_Database!F50)),12,IF(ISNUMBER(SEARCH("National",Installer_Database!F50)),7,0))))</f>
        <v>0</v>
      </c>
      <c r="E50">
        <f>IF(C50="","",IF(ISNUMBER(SEARCH(Customer_Profile!$B$8,Installer_Database!H50)),15,IF(OR(AND(Customer_Profile!$B$8="Hospital",ISNUMBER(SEARCH("Commercial",Installer_Database!H50))),AND(Customer_Profile!$B$8="Hotel",ISNUMBER(SEARCH("Commercial",Installer_Database!H50))),AND(Customer_Profile!$B$8="School",ISNUMBER(SEARCH("Commercial",Installer_Database!H50)))),8,0)))</f>
        <v>0</v>
      </c>
      <c r="F50">
        <f>IF(C50="","",IFERROR(IF(VALUE(LEFT(Customer_Profile!$B$19,FIND("-",Customer_Profile!$B$19&amp;"-")-1))&lt;=Installer_Database!J50,15,IF(VALUE(LEFT(Customer_Profile!$B$19,FIND("-",Customer_Profile!$B$19&amp;"-")-1))&lt;=Installer_Database!J50*1.25,10,5)),8))</f>
        <v>5</v>
      </c>
      <c r="G50">
        <f>IF(C50="","",IF(Installer_Database!V50="Excellent",15,IF(Installer_Database!V50="Good",12,IF(Installer_Database!V50="Acceptable",8,IF(Installer_Database!V50="Weak",4,IF(Installer_Database!V50="Unverified",5,5))))))</f>
        <v>5</v>
      </c>
      <c r="H50">
        <f>IF(C50="","",IF(Installer_Database!K50="Strong",10,IF(Installer_Database!K50="Moderate",7,IF(Installer_Database!K50="Basic",4,IF(Installer_Database!K50="No",0,5)))))</f>
        <v>5</v>
      </c>
      <c r="I50">
        <f>IF(C50="","",IF(Installer_Database!W50="Excellent",10,IF(Installer_Database!W50="Good",8,IF(Installer_Database!W50="Acceptable",5,IF(Installer_Database!W50="Weak",2,IF(Installer_Database!W50="Unverified",4,4))))))</f>
        <v>4</v>
      </c>
      <c r="J50">
        <f>IF(C50="","",IF(Installer_Database!S50="Excellent",10,IF(Installer_Database!S50="Good",8,IF(Installer_Database!S50="Acceptable",5,IF(Installer_Database!S50="Weak",2,IF(Installer_Database!S50="Unverified",4,IF(Installer_Database!S50="Strong",10,IF(Installer_Database!S50="Basic",5,4))))))))</f>
        <v>4</v>
      </c>
      <c r="K50">
        <f>IF(C50="","",IF(Installer_Database!T50="Same day",5,IF(Installer_Database!T50="24-48 hours",4,IF(Installer_Database!T50="2-3 days",3,IF(Installer_Database!T50="Slow",1,2)))))</f>
        <v>2</v>
      </c>
      <c r="L50">
        <f>IF(C50="","",IF(Installer_Database!U50=Customer_Profile!$B$12,5,IF(OR(Installer_Database!U50="Mid-range",Customer_Profile!$B$12="Unknown"),3,1)))</f>
        <v>1</v>
      </c>
      <c r="M50" s="47">
        <f t="shared" si="0"/>
        <v>26</v>
      </c>
      <c r="N50" s="47">
        <f>100</f>
        <v>100</v>
      </c>
      <c r="O50" s="35">
        <f t="shared" si="1"/>
        <v>0.26</v>
      </c>
      <c r="P50" t="str">
        <f t="shared" si="2"/>
        <v>Do Not Recommend</v>
      </c>
      <c r="Q50" t="str">
        <f t="shared" si="3"/>
        <v>No</v>
      </c>
      <c r="R50" t="str">
        <f t="shared" si="4"/>
        <v/>
      </c>
      <c r="S50">
        <f>IF(C50="","",Installer_Database!Z50)</f>
        <v>0</v>
      </c>
      <c r="T50">
        <f t="shared" si="5"/>
        <v>7</v>
      </c>
    </row>
    <row r="51" spans="1:20">
      <c r="A51" t="str">
        <f>[1]Installer_Database!A51</f>
        <v>INST-047</v>
      </c>
      <c r="B51">
        <f>Installer_Database!Y51</f>
        <v>0</v>
      </c>
      <c r="C51">
        <f>Installer_Database!B51</f>
        <v>0</v>
      </c>
      <c r="D51">
        <f>IF(C51="","",IF(ISNUMBER(SEARCH(Customer_Profile!$B$11,Installer_Database!G51)),15,IF(ISNUMBER(SEARCH(Customer_Profile!$B$10,Installer_Database!F51)),12,IF(ISNUMBER(SEARCH("National",Installer_Database!F51)),7,0))))</f>
        <v>0</v>
      </c>
      <c r="E51">
        <f>IF(C51="","",IF(ISNUMBER(SEARCH(Customer_Profile!$B$8,Installer_Database!H51)),15,IF(OR(AND(Customer_Profile!$B$8="Hospital",ISNUMBER(SEARCH("Commercial",Installer_Database!H51))),AND(Customer_Profile!$B$8="Hotel",ISNUMBER(SEARCH("Commercial",Installer_Database!H51))),AND(Customer_Profile!$B$8="School",ISNUMBER(SEARCH("Commercial",Installer_Database!H51)))),8,0)))</f>
        <v>0</v>
      </c>
      <c r="F51">
        <f>IF(C51="","",IFERROR(IF(VALUE(LEFT(Customer_Profile!$B$19,FIND("-",Customer_Profile!$B$19&amp;"-")-1))&lt;=Installer_Database!J51,15,IF(VALUE(LEFT(Customer_Profile!$B$19,FIND("-",Customer_Profile!$B$19&amp;"-")-1))&lt;=Installer_Database!J51*1.25,10,5)),8))</f>
        <v>5</v>
      </c>
      <c r="G51">
        <f>IF(C51="","",IF(Installer_Database!V51="Excellent",15,IF(Installer_Database!V51="Good",12,IF(Installer_Database!V51="Acceptable",8,IF(Installer_Database!V51="Weak",4,IF(Installer_Database!V51="Unverified",5,5))))))</f>
        <v>5</v>
      </c>
      <c r="H51">
        <f>IF(C51="","",IF(Installer_Database!K51="Strong",10,IF(Installer_Database!K51="Moderate",7,IF(Installer_Database!K51="Basic",4,IF(Installer_Database!K51="No",0,5)))))</f>
        <v>5</v>
      </c>
      <c r="I51">
        <f>IF(C51="","",IF(Installer_Database!W51="Excellent",10,IF(Installer_Database!W51="Good",8,IF(Installer_Database!W51="Acceptable",5,IF(Installer_Database!W51="Weak",2,IF(Installer_Database!W51="Unverified",4,4))))))</f>
        <v>4</v>
      </c>
      <c r="J51">
        <f>IF(C51="","",IF(Installer_Database!S51="Excellent",10,IF(Installer_Database!S51="Good",8,IF(Installer_Database!S51="Acceptable",5,IF(Installer_Database!S51="Weak",2,IF(Installer_Database!S51="Unverified",4,IF(Installer_Database!S51="Strong",10,IF(Installer_Database!S51="Basic",5,4))))))))</f>
        <v>4</v>
      </c>
      <c r="K51">
        <f>IF(C51="","",IF(Installer_Database!T51="Same day",5,IF(Installer_Database!T51="24-48 hours",4,IF(Installer_Database!T51="2-3 days",3,IF(Installer_Database!T51="Slow",1,2)))))</f>
        <v>2</v>
      </c>
      <c r="L51">
        <f>IF(C51="","",IF(Installer_Database!U51=Customer_Profile!$B$12,5,IF(OR(Installer_Database!U51="Mid-range",Customer_Profile!$B$12="Unknown"),3,1)))</f>
        <v>1</v>
      </c>
      <c r="M51" s="47">
        <f t="shared" si="0"/>
        <v>26</v>
      </c>
      <c r="N51" s="47">
        <f>100</f>
        <v>100</v>
      </c>
      <c r="O51" s="35">
        <f t="shared" si="1"/>
        <v>0.26</v>
      </c>
      <c r="P51" t="str">
        <f t="shared" si="2"/>
        <v>Do Not Recommend</v>
      </c>
      <c r="Q51" t="str">
        <f t="shared" si="3"/>
        <v>No</v>
      </c>
      <c r="R51" t="str">
        <f t="shared" si="4"/>
        <v/>
      </c>
      <c r="S51">
        <f>IF(C51="","",Installer_Database!Z51)</f>
        <v>0</v>
      </c>
      <c r="T51">
        <f t="shared" si="5"/>
        <v>7</v>
      </c>
    </row>
    <row r="52" spans="1:20">
      <c r="A52" t="str">
        <f>[1]Installer_Database!A52</f>
        <v>INST-048</v>
      </c>
      <c r="B52">
        <f>Installer_Database!Y52</f>
        <v>0</v>
      </c>
      <c r="C52">
        <f>Installer_Database!B52</f>
        <v>0</v>
      </c>
      <c r="D52">
        <f>IF(C52="","",IF(ISNUMBER(SEARCH(Customer_Profile!$B$11,Installer_Database!G52)),15,IF(ISNUMBER(SEARCH(Customer_Profile!$B$10,Installer_Database!F52)),12,IF(ISNUMBER(SEARCH("National",Installer_Database!F52)),7,0))))</f>
        <v>0</v>
      </c>
      <c r="E52">
        <f>IF(C52="","",IF(ISNUMBER(SEARCH(Customer_Profile!$B$8,Installer_Database!H52)),15,IF(OR(AND(Customer_Profile!$B$8="Hospital",ISNUMBER(SEARCH("Commercial",Installer_Database!H52))),AND(Customer_Profile!$B$8="Hotel",ISNUMBER(SEARCH("Commercial",Installer_Database!H52))),AND(Customer_Profile!$B$8="School",ISNUMBER(SEARCH("Commercial",Installer_Database!H52)))),8,0)))</f>
        <v>0</v>
      </c>
      <c r="F52">
        <f>IF(C52="","",IFERROR(IF(VALUE(LEFT(Customer_Profile!$B$19,FIND("-",Customer_Profile!$B$19&amp;"-")-1))&lt;=Installer_Database!J52,15,IF(VALUE(LEFT(Customer_Profile!$B$19,FIND("-",Customer_Profile!$B$19&amp;"-")-1))&lt;=Installer_Database!J52*1.25,10,5)),8))</f>
        <v>5</v>
      </c>
      <c r="G52">
        <f>IF(C52="","",IF(Installer_Database!V52="Excellent",15,IF(Installer_Database!V52="Good",12,IF(Installer_Database!V52="Acceptable",8,IF(Installer_Database!V52="Weak",4,IF(Installer_Database!V52="Unverified",5,5))))))</f>
        <v>5</v>
      </c>
      <c r="H52">
        <f>IF(C52="","",IF(Installer_Database!K52="Strong",10,IF(Installer_Database!K52="Moderate",7,IF(Installer_Database!K52="Basic",4,IF(Installer_Database!K52="No",0,5)))))</f>
        <v>5</v>
      </c>
      <c r="I52">
        <f>IF(C52="","",IF(Installer_Database!W52="Excellent",10,IF(Installer_Database!W52="Good",8,IF(Installer_Database!W52="Acceptable",5,IF(Installer_Database!W52="Weak",2,IF(Installer_Database!W52="Unverified",4,4))))))</f>
        <v>4</v>
      </c>
      <c r="J52">
        <f>IF(C52="","",IF(Installer_Database!S52="Excellent",10,IF(Installer_Database!S52="Good",8,IF(Installer_Database!S52="Acceptable",5,IF(Installer_Database!S52="Weak",2,IF(Installer_Database!S52="Unverified",4,IF(Installer_Database!S52="Strong",10,IF(Installer_Database!S52="Basic",5,4))))))))</f>
        <v>4</v>
      </c>
      <c r="K52">
        <f>IF(C52="","",IF(Installer_Database!T52="Same day",5,IF(Installer_Database!T52="24-48 hours",4,IF(Installer_Database!T52="2-3 days",3,IF(Installer_Database!T52="Slow",1,2)))))</f>
        <v>2</v>
      </c>
      <c r="L52">
        <f>IF(C52="","",IF(Installer_Database!U52=Customer_Profile!$B$12,5,IF(OR(Installer_Database!U52="Mid-range",Customer_Profile!$B$12="Unknown"),3,1)))</f>
        <v>1</v>
      </c>
      <c r="M52" s="47">
        <f t="shared" si="0"/>
        <v>26</v>
      </c>
      <c r="N52" s="47">
        <f>100</f>
        <v>100</v>
      </c>
      <c r="O52" s="35">
        <f t="shared" si="1"/>
        <v>0.26</v>
      </c>
      <c r="P52" t="str">
        <f t="shared" si="2"/>
        <v>Do Not Recommend</v>
      </c>
      <c r="Q52" t="str">
        <f t="shared" si="3"/>
        <v>No</v>
      </c>
      <c r="R52" t="str">
        <f t="shared" si="4"/>
        <v/>
      </c>
      <c r="S52">
        <f>IF(C52="","",Installer_Database!Z52)</f>
        <v>0</v>
      </c>
      <c r="T52">
        <f t="shared" si="5"/>
        <v>7</v>
      </c>
    </row>
    <row r="53" spans="1:20">
      <c r="A53" t="str">
        <f>[1]Installer_Database!A53</f>
        <v>INST-049</v>
      </c>
      <c r="B53">
        <f>Installer_Database!Y53</f>
        <v>0</v>
      </c>
      <c r="C53">
        <f>Installer_Database!B53</f>
        <v>0</v>
      </c>
      <c r="D53">
        <f>IF(C53="","",IF(ISNUMBER(SEARCH(Customer_Profile!$B$11,Installer_Database!G53)),15,IF(ISNUMBER(SEARCH(Customer_Profile!$B$10,Installer_Database!F53)),12,IF(ISNUMBER(SEARCH("National",Installer_Database!F53)),7,0))))</f>
        <v>0</v>
      </c>
      <c r="E53">
        <f>IF(C53="","",IF(ISNUMBER(SEARCH(Customer_Profile!$B$8,Installer_Database!H53)),15,IF(OR(AND(Customer_Profile!$B$8="Hospital",ISNUMBER(SEARCH("Commercial",Installer_Database!H53))),AND(Customer_Profile!$B$8="Hotel",ISNUMBER(SEARCH("Commercial",Installer_Database!H53))),AND(Customer_Profile!$B$8="School",ISNUMBER(SEARCH("Commercial",Installer_Database!H53)))),8,0)))</f>
        <v>0</v>
      </c>
      <c r="F53">
        <f>IF(C53="","",IFERROR(IF(VALUE(LEFT(Customer_Profile!$B$19,FIND("-",Customer_Profile!$B$19&amp;"-")-1))&lt;=Installer_Database!J53,15,IF(VALUE(LEFT(Customer_Profile!$B$19,FIND("-",Customer_Profile!$B$19&amp;"-")-1))&lt;=Installer_Database!J53*1.25,10,5)),8))</f>
        <v>5</v>
      </c>
      <c r="G53">
        <f>IF(C53="","",IF(Installer_Database!V53="Excellent",15,IF(Installer_Database!V53="Good",12,IF(Installer_Database!V53="Acceptable",8,IF(Installer_Database!V53="Weak",4,IF(Installer_Database!V53="Unverified",5,5))))))</f>
        <v>5</v>
      </c>
      <c r="H53">
        <f>IF(C53="","",IF(Installer_Database!K53="Strong",10,IF(Installer_Database!K53="Moderate",7,IF(Installer_Database!K53="Basic",4,IF(Installer_Database!K53="No",0,5)))))</f>
        <v>5</v>
      </c>
      <c r="I53">
        <f>IF(C53="","",IF(Installer_Database!W53="Excellent",10,IF(Installer_Database!W53="Good",8,IF(Installer_Database!W53="Acceptable",5,IF(Installer_Database!W53="Weak",2,IF(Installer_Database!W53="Unverified",4,4))))))</f>
        <v>4</v>
      </c>
      <c r="J53">
        <f>IF(C53="","",IF(Installer_Database!S53="Excellent",10,IF(Installer_Database!S53="Good",8,IF(Installer_Database!S53="Acceptable",5,IF(Installer_Database!S53="Weak",2,IF(Installer_Database!S53="Unverified",4,IF(Installer_Database!S53="Strong",10,IF(Installer_Database!S53="Basic",5,4))))))))</f>
        <v>4</v>
      </c>
      <c r="K53">
        <f>IF(C53="","",IF(Installer_Database!T53="Same day",5,IF(Installer_Database!T53="24-48 hours",4,IF(Installer_Database!T53="2-3 days",3,IF(Installer_Database!T53="Slow",1,2)))))</f>
        <v>2</v>
      </c>
      <c r="L53">
        <f>IF(C53="","",IF(Installer_Database!U53=Customer_Profile!$B$12,5,IF(OR(Installer_Database!U53="Mid-range",Customer_Profile!$B$12="Unknown"),3,1)))</f>
        <v>1</v>
      </c>
      <c r="M53" s="47">
        <f t="shared" si="0"/>
        <v>26</v>
      </c>
      <c r="N53" s="47">
        <f>100</f>
        <v>100</v>
      </c>
      <c r="O53" s="35">
        <f t="shared" si="1"/>
        <v>0.26</v>
      </c>
      <c r="P53" t="str">
        <f t="shared" si="2"/>
        <v>Do Not Recommend</v>
      </c>
      <c r="Q53" t="str">
        <f t="shared" si="3"/>
        <v>No</v>
      </c>
      <c r="R53" t="str">
        <f t="shared" si="4"/>
        <v/>
      </c>
      <c r="S53">
        <f>IF(C53="","",Installer_Database!Z53)</f>
        <v>0</v>
      </c>
      <c r="T53">
        <f t="shared" si="5"/>
        <v>7</v>
      </c>
    </row>
    <row r="54" spans="1:20">
      <c r="A54" t="str">
        <f>[1]Installer_Database!A54</f>
        <v>INST-050</v>
      </c>
      <c r="B54">
        <f>Installer_Database!Y54</f>
        <v>0</v>
      </c>
      <c r="C54">
        <f>Installer_Database!B54</f>
        <v>0</v>
      </c>
      <c r="D54">
        <f>IF(C54="","",IF(ISNUMBER(SEARCH(Customer_Profile!$B$11,Installer_Database!G54)),15,IF(ISNUMBER(SEARCH(Customer_Profile!$B$10,Installer_Database!F54)),12,IF(ISNUMBER(SEARCH("National",Installer_Database!F54)),7,0))))</f>
        <v>0</v>
      </c>
      <c r="E54">
        <f>IF(C54="","",IF(ISNUMBER(SEARCH(Customer_Profile!$B$8,Installer_Database!H54)),15,IF(OR(AND(Customer_Profile!$B$8="Hospital",ISNUMBER(SEARCH("Commercial",Installer_Database!H54))),AND(Customer_Profile!$B$8="Hotel",ISNUMBER(SEARCH("Commercial",Installer_Database!H54))),AND(Customer_Profile!$B$8="School",ISNUMBER(SEARCH("Commercial",Installer_Database!H54)))),8,0)))</f>
        <v>0</v>
      </c>
      <c r="F54">
        <f>IF(C54="","",IFERROR(IF(VALUE(LEFT(Customer_Profile!$B$19,FIND("-",Customer_Profile!$B$19&amp;"-")-1))&lt;=Installer_Database!J54,15,IF(VALUE(LEFT(Customer_Profile!$B$19,FIND("-",Customer_Profile!$B$19&amp;"-")-1))&lt;=Installer_Database!J54*1.25,10,5)),8))</f>
        <v>5</v>
      </c>
      <c r="G54">
        <f>IF(C54="","",IF(Installer_Database!V54="Excellent",15,IF(Installer_Database!V54="Good",12,IF(Installer_Database!V54="Acceptable",8,IF(Installer_Database!V54="Weak",4,IF(Installer_Database!V54="Unverified",5,5))))))</f>
        <v>5</v>
      </c>
      <c r="H54">
        <f>IF(C54="","",IF(Installer_Database!K54="Strong",10,IF(Installer_Database!K54="Moderate",7,IF(Installer_Database!K54="Basic",4,IF(Installer_Database!K54="No",0,5)))))</f>
        <v>5</v>
      </c>
      <c r="I54">
        <f>IF(C54="","",IF(Installer_Database!W54="Excellent",10,IF(Installer_Database!W54="Good",8,IF(Installer_Database!W54="Acceptable",5,IF(Installer_Database!W54="Weak",2,IF(Installer_Database!W54="Unverified",4,4))))))</f>
        <v>4</v>
      </c>
      <c r="J54">
        <f>IF(C54="","",IF(Installer_Database!S54="Excellent",10,IF(Installer_Database!S54="Good",8,IF(Installer_Database!S54="Acceptable",5,IF(Installer_Database!S54="Weak",2,IF(Installer_Database!S54="Unverified",4,IF(Installer_Database!S54="Strong",10,IF(Installer_Database!S54="Basic",5,4))))))))</f>
        <v>4</v>
      </c>
      <c r="K54">
        <f>IF(C54="","",IF(Installer_Database!T54="Same day",5,IF(Installer_Database!T54="24-48 hours",4,IF(Installer_Database!T54="2-3 days",3,IF(Installer_Database!T54="Slow",1,2)))))</f>
        <v>2</v>
      </c>
      <c r="L54">
        <f>IF(C54="","",IF(Installer_Database!U54=Customer_Profile!$B$12,5,IF(OR(Installer_Database!U54="Mid-range",Customer_Profile!$B$12="Unknown"),3,1)))</f>
        <v>1</v>
      </c>
      <c r="M54" s="47">
        <f t="shared" si="0"/>
        <v>26</v>
      </c>
      <c r="N54" s="47">
        <f>100</f>
        <v>100</v>
      </c>
      <c r="O54" s="35">
        <f t="shared" si="1"/>
        <v>0.26</v>
      </c>
      <c r="P54" t="str">
        <f t="shared" si="2"/>
        <v>Do Not Recommend</v>
      </c>
      <c r="Q54" t="str">
        <f t="shared" si="3"/>
        <v>No</v>
      </c>
      <c r="R54" t="str">
        <f t="shared" si="4"/>
        <v/>
      </c>
      <c r="S54">
        <f>IF(C54="","",Installer_Database!Z54)</f>
        <v>0</v>
      </c>
      <c r="T54">
        <f t="shared" si="5"/>
        <v>7</v>
      </c>
    </row>
    <row r="55" spans="1:20">
      <c r="A55" t="str">
        <f>[1]Installer_Database!A55</f>
        <v>INST-051</v>
      </c>
      <c r="B55">
        <f>Installer_Database!Y55</f>
        <v>0</v>
      </c>
      <c r="C55">
        <f>Installer_Database!B55</f>
        <v>0</v>
      </c>
      <c r="D55">
        <f>IF(C55="","",IF(ISNUMBER(SEARCH(Customer_Profile!$B$11,Installer_Database!G55)),15,IF(ISNUMBER(SEARCH(Customer_Profile!$B$10,Installer_Database!F55)),12,IF(ISNUMBER(SEARCH("National",Installer_Database!F55)),7,0))))</f>
        <v>0</v>
      </c>
      <c r="E55">
        <f>IF(C55="","",IF(ISNUMBER(SEARCH(Customer_Profile!$B$8,Installer_Database!H55)),15,IF(OR(AND(Customer_Profile!$B$8="Hospital",ISNUMBER(SEARCH("Commercial",Installer_Database!H55))),AND(Customer_Profile!$B$8="Hotel",ISNUMBER(SEARCH("Commercial",Installer_Database!H55))),AND(Customer_Profile!$B$8="School",ISNUMBER(SEARCH("Commercial",Installer_Database!H55)))),8,0)))</f>
        <v>0</v>
      </c>
      <c r="F55">
        <f>IF(C55="","",IFERROR(IF(VALUE(LEFT(Customer_Profile!$B$19,FIND("-",Customer_Profile!$B$19&amp;"-")-1))&lt;=Installer_Database!J55,15,IF(VALUE(LEFT(Customer_Profile!$B$19,FIND("-",Customer_Profile!$B$19&amp;"-")-1))&lt;=Installer_Database!J55*1.25,10,5)),8))</f>
        <v>5</v>
      </c>
      <c r="G55">
        <f>IF(C55="","",IF(Installer_Database!V55="Excellent",15,IF(Installer_Database!V55="Good",12,IF(Installer_Database!V55="Acceptable",8,IF(Installer_Database!V55="Weak",4,IF(Installer_Database!V55="Unverified",5,5))))))</f>
        <v>5</v>
      </c>
      <c r="H55">
        <f>IF(C55="","",IF(Installer_Database!K55="Strong",10,IF(Installer_Database!K55="Moderate",7,IF(Installer_Database!K55="Basic",4,IF(Installer_Database!K55="No",0,5)))))</f>
        <v>5</v>
      </c>
      <c r="I55">
        <f>IF(C55="","",IF(Installer_Database!W55="Excellent",10,IF(Installer_Database!W55="Good",8,IF(Installer_Database!W55="Acceptable",5,IF(Installer_Database!W55="Weak",2,IF(Installer_Database!W55="Unverified",4,4))))))</f>
        <v>4</v>
      </c>
      <c r="J55">
        <f>IF(C55="","",IF(Installer_Database!S55="Excellent",10,IF(Installer_Database!S55="Good",8,IF(Installer_Database!S55="Acceptable",5,IF(Installer_Database!S55="Weak",2,IF(Installer_Database!S55="Unverified",4,IF(Installer_Database!S55="Strong",10,IF(Installer_Database!S55="Basic",5,4))))))))</f>
        <v>4</v>
      </c>
      <c r="K55">
        <f>IF(C55="","",IF(Installer_Database!T55="Same day",5,IF(Installer_Database!T55="24-48 hours",4,IF(Installer_Database!T55="2-3 days",3,IF(Installer_Database!T55="Slow",1,2)))))</f>
        <v>2</v>
      </c>
      <c r="L55">
        <f>IF(C55="","",IF(Installer_Database!U55=Customer_Profile!$B$12,5,IF(OR(Installer_Database!U55="Mid-range",Customer_Profile!$B$12="Unknown"),3,1)))</f>
        <v>1</v>
      </c>
      <c r="M55" s="47">
        <f t="shared" si="0"/>
        <v>26</v>
      </c>
      <c r="N55" s="47">
        <f>100</f>
        <v>100</v>
      </c>
      <c r="O55" s="35">
        <f t="shared" si="1"/>
        <v>0.26</v>
      </c>
      <c r="P55" t="str">
        <f t="shared" si="2"/>
        <v>Do Not Recommend</v>
      </c>
      <c r="Q55" t="str">
        <f t="shared" si="3"/>
        <v>No</v>
      </c>
      <c r="R55" t="str">
        <f t="shared" si="4"/>
        <v/>
      </c>
      <c r="S55">
        <f>IF(C55="","",Installer_Database!Z55)</f>
        <v>0</v>
      </c>
      <c r="T55">
        <f t="shared" si="5"/>
        <v>7</v>
      </c>
    </row>
    <row r="56" spans="1:20">
      <c r="A56" t="str">
        <f>[1]Installer_Database!A56</f>
        <v>INST-052</v>
      </c>
      <c r="B56">
        <f>Installer_Database!Y56</f>
        <v>0</v>
      </c>
      <c r="C56">
        <f>Installer_Database!B56</f>
        <v>0</v>
      </c>
      <c r="D56">
        <f>IF(C56="","",IF(ISNUMBER(SEARCH(Customer_Profile!$B$11,Installer_Database!G56)),15,IF(ISNUMBER(SEARCH(Customer_Profile!$B$10,Installer_Database!F56)),12,IF(ISNUMBER(SEARCH("National",Installer_Database!F56)),7,0))))</f>
        <v>0</v>
      </c>
      <c r="E56">
        <f>IF(C56="","",IF(ISNUMBER(SEARCH(Customer_Profile!$B$8,Installer_Database!H56)),15,IF(OR(AND(Customer_Profile!$B$8="Hospital",ISNUMBER(SEARCH("Commercial",Installer_Database!H56))),AND(Customer_Profile!$B$8="Hotel",ISNUMBER(SEARCH("Commercial",Installer_Database!H56))),AND(Customer_Profile!$B$8="School",ISNUMBER(SEARCH("Commercial",Installer_Database!H56)))),8,0)))</f>
        <v>0</v>
      </c>
      <c r="F56">
        <f>IF(C56="","",IFERROR(IF(VALUE(LEFT(Customer_Profile!$B$19,FIND("-",Customer_Profile!$B$19&amp;"-")-1))&lt;=Installer_Database!J56,15,IF(VALUE(LEFT(Customer_Profile!$B$19,FIND("-",Customer_Profile!$B$19&amp;"-")-1))&lt;=Installer_Database!J56*1.25,10,5)),8))</f>
        <v>5</v>
      </c>
      <c r="G56">
        <f>IF(C56="","",IF(Installer_Database!V56="Excellent",15,IF(Installer_Database!V56="Good",12,IF(Installer_Database!V56="Acceptable",8,IF(Installer_Database!V56="Weak",4,IF(Installer_Database!V56="Unverified",5,5))))))</f>
        <v>5</v>
      </c>
      <c r="H56">
        <f>IF(C56="","",IF(Installer_Database!K56="Strong",10,IF(Installer_Database!K56="Moderate",7,IF(Installer_Database!K56="Basic",4,IF(Installer_Database!K56="No",0,5)))))</f>
        <v>5</v>
      </c>
      <c r="I56">
        <f>IF(C56="","",IF(Installer_Database!W56="Excellent",10,IF(Installer_Database!W56="Good",8,IF(Installer_Database!W56="Acceptable",5,IF(Installer_Database!W56="Weak",2,IF(Installer_Database!W56="Unverified",4,4))))))</f>
        <v>4</v>
      </c>
      <c r="J56">
        <f>IF(C56="","",IF(Installer_Database!S56="Excellent",10,IF(Installer_Database!S56="Good",8,IF(Installer_Database!S56="Acceptable",5,IF(Installer_Database!S56="Weak",2,IF(Installer_Database!S56="Unverified",4,IF(Installer_Database!S56="Strong",10,IF(Installer_Database!S56="Basic",5,4))))))))</f>
        <v>4</v>
      </c>
      <c r="K56">
        <f>IF(C56="","",IF(Installer_Database!T56="Same day",5,IF(Installer_Database!T56="24-48 hours",4,IF(Installer_Database!T56="2-3 days",3,IF(Installer_Database!T56="Slow",1,2)))))</f>
        <v>2</v>
      </c>
      <c r="L56">
        <f>IF(C56="","",IF(Installer_Database!U56=Customer_Profile!$B$12,5,IF(OR(Installer_Database!U56="Mid-range",Customer_Profile!$B$12="Unknown"),3,1)))</f>
        <v>1</v>
      </c>
      <c r="M56" s="47">
        <f t="shared" si="0"/>
        <v>26</v>
      </c>
      <c r="N56" s="47">
        <f>100</f>
        <v>100</v>
      </c>
      <c r="O56" s="35">
        <f t="shared" si="1"/>
        <v>0.26</v>
      </c>
      <c r="P56" t="str">
        <f t="shared" si="2"/>
        <v>Do Not Recommend</v>
      </c>
      <c r="Q56" t="str">
        <f t="shared" si="3"/>
        <v>No</v>
      </c>
      <c r="R56" t="str">
        <f t="shared" si="4"/>
        <v/>
      </c>
      <c r="S56">
        <f>IF(C56="","",Installer_Database!Z56)</f>
        <v>0</v>
      </c>
      <c r="T56">
        <f t="shared" si="5"/>
        <v>7</v>
      </c>
    </row>
    <row r="57" spans="1:20">
      <c r="A57" t="str">
        <f>[1]Installer_Database!A57</f>
        <v>INST-053</v>
      </c>
      <c r="B57">
        <f>Installer_Database!Y57</f>
        <v>0</v>
      </c>
      <c r="C57">
        <f>Installer_Database!B57</f>
        <v>0</v>
      </c>
      <c r="D57">
        <f>IF(C57="","",IF(ISNUMBER(SEARCH(Customer_Profile!$B$11,Installer_Database!G57)),15,IF(ISNUMBER(SEARCH(Customer_Profile!$B$10,Installer_Database!F57)),12,IF(ISNUMBER(SEARCH("National",Installer_Database!F57)),7,0))))</f>
        <v>0</v>
      </c>
      <c r="E57">
        <f>IF(C57="","",IF(ISNUMBER(SEARCH(Customer_Profile!$B$8,Installer_Database!H57)),15,IF(OR(AND(Customer_Profile!$B$8="Hospital",ISNUMBER(SEARCH("Commercial",Installer_Database!H57))),AND(Customer_Profile!$B$8="Hotel",ISNUMBER(SEARCH("Commercial",Installer_Database!H57))),AND(Customer_Profile!$B$8="School",ISNUMBER(SEARCH("Commercial",Installer_Database!H57)))),8,0)))</f>
        <v>0</v>
      </c>
      <c r="F57">
        <f>IF(C57="","",IFERROR(IF(VALUE(LEFT(Customer_Profile!$B$19,FIND("-",Customer_Profile!$B$19&amp;"-")-1))&lt;=Installer_Database!J57,15,IF(VALUE(LEFT(Customer_Profile!$B$19,FIND("-",Customer_Profile!$B$19&amp;"-")-1))&lt;=Installer_Database!J57*1.25,10,5)),8))</f>
        <v>5</v>
      </c>
      <c r="G57">
        <f>IF(C57="","",IF(Installer_Database!V57="Excellent",15,IF(Installer_Database!V57="Good",12,IF(Installer_Database!V57="Acceptable",8,IF(Installer_Database!V57="Weak",4,IF(Installer_Database!V57="Unverified",5,5))))))</f>
        <v>5</v>
      </c>
      <c r="H57">
        <f>IF(C57="","",IF(Installer_Database!K57="Strong",10,IF(Installer_Database!K57="Moderate",7,IF(Installer_Database!K57="Basic",4,IF(Installer_Database!K57="No",0,5)))))</f>
        <v>5</v>
      </c>
      <c r="I57">
        <f>IF(C57="","",IF(Installer_Database!W57="Excellent",10,IF(Installer_Database!W57="Good",8,IF(Installer_Database!W57="Acceptable",5,IF(Installer_Database!W57="Weak",2,IF(Installer_Database!W57="Unverified",4,4))))))</f>
        <v>4</v>
      </c>
      <c r="J57">
        <f>IF(C57="","",IF(Installer_Database!S57="Excellent",10,IF(Installer_Database!S57="Good",8,IF(Installer_Database!S57="Acceptable",5,IF(Installer_Database!S57="Weak",2,IF(Installer_Database!S57="Unverified",4,IF(Installer_Database!S57="Strong",10,IF(Installer_Database!S57="Basic",5,4))))))))</f>
        <v>4</v>
      </c>
      <c r="K57">
        <f>IF(C57="","",IF(Installer_Database!T57="Same day",5,IF(Installer_Database!T57="24-48 hours",4,IF(Installer_Database!T57="2-3 days",3,IF(Installer_Database!T57="Slow",1,2)))))</f>
        <v>2</v>
      </c>
      <c r="L57">
        <f>IF(C57="","",IF(Installer_Database!U57=Customer_Profile!$B$12,5,IF(OR(Installer_Database!U57="Mid-range",Customer_Profile!$B$12="Unknown"),3,1)))</f>
        <v>1</v>
      </c>
      <c r="M57" s="47">
        <f t="shared" si="0"/>
        <v>26</v>
      </c>
      <c r="N57" s="47">
        <f>100</f>
        <v>100</v>
      </c>
      <c r="O57" s="35">
        <f t="shared" si="1"/>
        <v>0.26</v>
      </c>
      <c r="P57" t="str">
        <f t="shared" si="2"/>
        <v>Do Not Recommend</v>
      </c>
      <c r="Q57" t="str">
        <f t="shared" si="3"/>
        <v>No</v>
      </c>
      <c r="R57" t="str">
        <f t="shared" si="4"/>
        <v/>
      </c>
      <c r="S57">
        <f>IF(C57="","",Installer_Database!Z57)</f>
        <v>0</v>
      </c>
      <c r="T57">
        <f t="shared" si="5"/>
        <v>7</v>
      </c>
    </row>
    <row r="58" spans="1:20">
      <c r="A58" t="str">
        <f>[1]Installer_Database!A58</f>
        <v>INST-054</v>
      </c>
      <c r="B58">
        <f>Installer_Database!Y58</f>
        <v>0</v>
      </c>
      <c r="C58">
        <f>Installer_Database!B58</f>
        <v>0</v>
      </c>
      <c r="D58">
        <f>IF(C58="","",IF(ISNUMBER(SEARCH(Customer_Profile!$B$11,Installer_Database!G58)),15,IF(ISNUMBER(SEARCH(Customer_Profile!$B$10,Installer_Database!F58)),12,IF(ISNUMBER(SEARCH("National",Installer_Database!F58)),7,0))))</f>
        <v>0</v>
      </c>
      <c r="E58">
        <f>IF(C58="","",IF(ISNUMBER(SEARCH(Customer_Profile!$B$8,Installer_Database!H58)),15,IF(OR(AND(Customer_Profile!$B$8="Hospital",ISNUMBER(SEARCH("Commercial",Installer_Database!H58))),AND(Customer_Profile!$B$8="Hotel",ISNUMBER(SEARCH("Commercial",Installer_Database!H58))),AND(Customer_Profile!$B$8="School",ISNUMBER(SEARCH("Commercial",Installer_Database!H58)))),8,0)))</f>
        <v>0</v>
      </c>
      <c r="F58">
        <f>IF(C58="","",IFERROR(IF(VALUE(LEFT(Customer_Profile!$B$19,FIND("-",Customer_Profile!$B$19&amp;"-")-1))&lt;=Installer_Database!J58,15,IF(VALUE(LEFT(Customer_Profile!$B$19,FIND("-",Customer_Profile!$B$19&amp;"-")-1))&lt;=Installer_Database!J58*1.25,10,5)),8))</f>
        <v>5</v>
      </c>
      <c r="G58">
        <f>IF(C58="","",IF(Installer_Database!V58="Excellent",15,IF(Installer_Database!V58="Good",12,IF(Installer_Database!V58="Acceptable",8,IF(Installer_Database!V58="Weak",4,IF(Installer_Database!V58="Unverified",5,5))))))</f>
        <v>5</v>
      </c>
      <c r="H58">
        <f>IF(C58="","",IF(Installer_Database!K58="Strong",10,IF(Installer_Database!K58="Moderate",7,IF(Installer_Database!K58="Basic",4,IF(Installer_Database!K58="No",0,5)))))</f>
        <v>5</v>
      </c>
      <c r="I58">
        <f>IF(C58="","",IF(Installer_Database!W58="Excellent",10,IF(Installer_Database!W58="Good",8,IF(Installer_Database!W58="Acceptable",5,IF(Installer_Database!W58="Weak",2,IF(Installer_Database!W58="Unverified",4,4))))))</f>
        <v>4</v>
      </c>
      <c r="J58">
        <f>IF(C58="","",IF(Installer_Database!S58="Excellent",10,IF(Installer_Database!S58="Good",8,IF(Installer_Database!S58="Acceptable",5,IF(Installer_Database!S58="Weak",2,IF(Installer_Database!S58="Unverified",4,IF(Installer_Database!S58="Strong",10,IF(Installer_Database!S58="Basic",5,4))))))))</f>
        <v>4</v>
      </c>
      <c r="K58">
        <f>IF(C58="","",IF(Installer_Database!T58="Same day",5,IF(Installer_Database!T58="24-48 hours",4,IF(Installer_Database!T58="2-3 days",3,IF(Installer_Database!T58="Slow",1,2)))))</f>
        <v>2</v>
      </c>
      <c r="L58">
        <f>IF(C58="","",IF(Installer_Database!U58=Customer_Profile!$B$12,5,IF(OR(Installer_Database!U58="Mid-range",Customer_Profile!$B$12="Unknown"),3,1)))</f>
        <v>1</v>
      </c>
      <c r="M58" s="47">
        <f t="shared" si="0"/>
        <v>26</v>
      </c>
      <c r="N58" s="47">
        <f>100</f>
        <v>100</v>
      </c>
      <c r="O58" s="35">
        <f t="shared" si="1"/>
        <v>0.26</v>
      </c>
      <c r="P58" t="str">
        <f t="shared" si="2"/>
        <v>Do Not Recommend</v>
      </c>
      <c r="Q58" t="str">
        <f t="shared" si="3"/>
        <v>No</v>
      </c>
      <c r="R58" t="str">
        <f t="shared" si="4"/>
        <v/>
      </c>
      <c r="S58">
        <f>IF(C58="","",Installer_Database!Z58)</f>
        <v>0</v>
      </c>
      <c r="T58">
        <f t="shared" si="5"/>
        <v>7</v>
      </c>
    </row>
    <row r="59" spans="1:20">
      <c r="A59" t="str">
        <f>[1]Installer_Database!A59</f>
        <v>INST-055</v>
      </c>
      <c r="B59">
        <f>Installer_Database!Y59</f>
        <v>0</v>
      </c>
      <c r="C59">
        <f>Installer_Database!B59</f>
        <v>0</v>
      </c>
      <c r="D59">
        <f>IF(C59="","",IF(ISNUMBER(SEARCH(Customer_Profile!$B$11,Installer_Database!G59)),15,IF(ISNUMBER(SEARCH(Customer_Profile!$B$10,Installer_Database!F59)),12,IF(ISNUMBER(SEARCH("National",Installer_Database!F59)),7,0))))</f>
        <v>0</v>
      </c>
      <c r="E59">
        <f>IF(C59="","",IF(ISNUMBER(SEARCH(Customer_Profile!$B$8,Installer_Database!H59)),15,IF(OR(AND(Customer_Profile!$B$8="Hospital",ISNUMBER(SEARCH("Commercial",Installer_Database!H59))),AND(Customer_Profile!$B$8="Hotel",ISNUMBER(SEARCH("Commercial",Installer_Database!H59))),AND(Customer_Profile!$B$8="School",ISNUMBER(SEARCH("Commercial",Installer_Database!H59)))),8,0)))</f>
        <v>0</v>
      </c>
      <c r="F59">
        <f>IF(C59="","",IFERROR(IF(VALUE(LEFT(Customer_Profile!$B$19,FIND("-",Customer_Profile!$B$19&amp;"-")-1))&lt;=Installer_Database!J59,15,IF(VALUE(LEFT(Customer_Profile!$B$19,FIND("-",Customer_Profile!$B$19&amp;"-")-1))&lt;=Installer_Database!J59*1.25,10,5)),8))</f>
        <v>5</v>
      </c>
      <c r="G59">
        <f>IF(C59="","",IF(Installer_Database!V59="Excellent",15,IF(Installer_Database!V59="Good",12,IF(Installer_Database!V59="Acceptable",8,IF(Installer_Database!V59="Weak",4,IF(Installer_Database!V59="Unverified",5,5))))))</f>
        <v>5</v>
      </c>
      <c r="H59">
        <f>IF(C59="","",IF(Installer_Database!K59="Strong",10,IF(Installer_Database!K59="Moderate",7,IF(Installer_Database!K59="Basic",4,IF(Installer_Database!K59="No",0,5)))))</f>
        <v>5</v>
      </c>
      <c r="I59">
        <f>IF(C59="","",IF(Installer_Database!W59="Excellent",10,IF(Installer_Database!W59="Good",8,IF(Installer_Database!W59="Acceptable",5,IF(Installer_Database!W59="Weak",2,IF(Installer_Database!W59="Unverified",4,4))))))</f>
        <v>4</v>
      </c>
      <c r="J59">
        <f>IF(C59="","",IF(Installer_Database!S59="Excellent",10,IF(Installer_Database!S59="Good",8,IF(Installer_Database!S59="Acceptable",5,IF(Installer_Database!S59="Weak",2,IF(Installer_Database!S59="Unverified",4,IF(Installer_Database!S59="Strong",10,IF(Installer_Database!S59="Basic",5,4))))))))</f>
        <v>4</v>
      </c>
      <c r="K59">
        <f>IF(C59="","",IF(Installer_Database!T59="Same day",5,IF(Installer_Database!T59="24-48 hours",4,IF(Installer_Database!T59="2-3 days",3,IF(Installer_Database!T59="Slow",1,2)))))</f>
        <v>2</v>
      </c>
      <c r="L59">
        <f>IF(C59="","",IF(Installer_Database!U59=Customer_Profile!$B$12,5,IF(OR(Installer_Database!U59="Mid-range",Customer_Profile!$B$12="Unknown"),3,1)))</f>
        <v>1</v>
      </c>
      <c r="M59" s="47">
        <f t="shared" si="0"/>
        <v>26</v>
      </c>
      <c r="N59" s="47">
        <f>100</f>
        <v>100</v>
      </c>
      <c r="O59" s="35">
        <f t="shared" si="1"/>
        <v>0.26</v>
      </c>
      <c r="P59" t="str">
        <f t="shared" si="2"/>
        <v>Do Not Recommend</v>
      </c>
      <c r="Q59" t="str">
        <f t="shared" si="3"/>
        <v>No</v>
      </c>
      <c r="R59" t="str">
        <f t="shared" si="4"/>
        <v/>
      </c>
      <c r="S59">
        <f>IF(C59="","",Installer_Database!Z59)</f>
        <v>0</v>
      </c>
      <c r="T59">
        <f t="shared" si="5"/>
        <v>7</v>
      </c>
    </row>
    <row r="60" spans="1:20">
      <c r="A60" t="str">
        <f>[1]Installer_Database!A60</f>
        <v>INST-056</v>
      </c>
      <c r="B60">
        <f>Installer_Database!Y60</f>
        <v>0</v>
      </c>
      <c r="C60">
        <f>Installer_Database!B60</f>
        <v>0</v>
      </c>
      <c r="D60">
        <f>IF(C60="","",IF(ISNUMBER(SEARCH(Customer_Profile!$B$11,Installer_Database!G60)),15,IF(ISNUMBER(SEARCH(Customer_Profile!$B$10,Installer_Database!F60)),12,IF(ISNUMBER(SEARCH("National",Installer_Database!F60)),7,0))))</f>
        <v>0</v>
      </c>
      <c r="E60">
        <f>IF(C60="","",IF(ISNUMBER(SEARCH(Customer_Profile!$B$8,Installer_Database!H60)),15,IF(OR(AND(Customer_Profile!$B$8="Hospital",ISNUMBER(SEARCH("Commercial",Installer_Database!H60))),AND(Customer_Profile!$B$8="Hotel",ISNUMBER(SEARCH("Commercial",Installer_Database!H60))),AND(Customer_Profile!$B$8="School",ISNUMBER(SEARCH("Commercial",Installer_Database!H60)))),8,0)))</f>
        <v>0</v>
      </c>
      <c r="F60">
        <f>IF(C60="","",IFERROR(IF(VALUE(LEFT(Customer_Profile!$B$19,FIND("-",Customer_Profile!$B$19&amp;"-")-1))&lt;=Installer_Database!J60,15,IF(VALUE(LEFT(Customer_Profile!$B$19,FIND("-",Customer_Profile!$B$19&amp;"-")-1))&lt;=Installer_Database!J60*1.25,10,5)),8))</f>
        <v>5</v>
      </c>
      <c r="G60">
        <f>IF(C60="","",IF(Installer_Database!V60="Excellent",15,IF(Installer_Database!V60="Good",12,IF(Installer_Database!V60="Acceptable",8,IF(Installer_Database!V60="Weak",4,IF(Installer_Database!V60="Unverified",5,5))))))</f>
        <v>5</v>
      </c>
      <c r="H60">
        <f>IF(C60="","",IF(Installer_Database!K60="Strong",10,IF(Installer_Database!K60="Moderate",7,IF(Installer_Database!K60="Basic",4,IF(Installer_Database!K60="No",0,5)))))</f>
        <v>5</v>
      </c>
      <c r="I60">
        <f>IF(C60="","",IF(Installer_Database!W60="Excellent",10,IF(Installer_Database!W60="Good",8,IF(Installer_Database!W60="Acceptable",5,IF(Installer_Database!W60="Weak",2,IF(Installer_Database!W60="Unverified",4,4))))))</f>
        <v>4</v>
      </c>
      <c r="J60">
        <f>IF(C60="","",IF(Installer_Database!S60="Excellent",10,IF(Installer_Database!S60="Good",8,IF(Installer_Database!S60="Acceptable",5,IF(Installer_Database!S60="Weak",2,IF(Installer_Database!S60="Unverified",4,IF(Installer_Database!S60="Strong",10,IF(Installer_Database!S60="Basic",5,4))))))))</f>
        <v>4</v>
      </c>
      <c r="K60">
        <f>IF(C60="","",IF(Installer_Database!T60="Same day",5,IF(Installer_Database!T60="24-48 hours",4,IF(Installer_Database!T60="2-3 days",3,IF(Installer_Database!T60="Slow",1,2)))))</f>
        <v>2</v>
      </c>
      <c r="L60">
        <f>IF(C60="","",IF(Installer_Database!U60=Customer_Profile!$B$12,5,IF(OR(Installer_Database!U60="Mid-range",Customer_Profile!$B$12="Unknown"),3,1)))</f>
        <v>1</v>
      </c>
      <c r="M60" s="47">
        <f t="shared" si="0"/>
        <v>26</v>
      </c>
      <c r="N60" s="47">
        <f>100</f>
        <v>100</v>
      </c>
      <c r="O60" s="35">
        <f t="shared" si="1"/>
        <v>0.26</v>
      </c>
      <c r="P60" t="str">
        <f t="shared" si="2"/>
        <v>Do Not Recommend</v>
      </c>
      <c r="Q60" t="str">
        <f t="shared" si="3"/>
        <v>No</v>
      </c>
      <c r="R60" t="str">
        <f t="shared" si="4"/>
        <v/>
      </c>
      <c r="S60">
        <f>IF(C60="","",Installer_Database!Z60)</f>
        <v>0</v>
      </c>
      <c r="T60">
        <f t="shared" si="5"/>
        <v>7</v>
      </c>
    </row>
    <row r="61" spans="1:20">
      <c r="A61" t="str">
        <f>[1]Installer_Database!A61</f>
        <v>INST-057</v>
      </c>
      <c r="B61">
        <f>Installer_Database!Y61</f>
        <v>0</v>
      </c>
      <c r="C61">
        <f>Installer_Database!B61</f>
        <v>0</v>
      </c>
      <c r="D61">
        <f>IF(C61="","",IF(ISNUMBER(SEARCH(Customer_Profile!$B$11,Installer_Database!G61)),15,IF(ISNUMBER(SEARCH(Customer_Profile!$B$10,Installer_Database!F61)),12,IF(ISNUMBER(SEARCH("National",Installer_Database!F61)),7,0))))</f>
        <v>0</v>
      </c>
      <c r="E61">
        <f>IF(C61="","",IF(ISNUMBER(SEARCH(Customer_Profile!$B$8,Installer_Database!H61)),15,IF(OR(AND(Customer_Profile!$B$8="Hospital",ISNUMBER(SEARCH("Commercial",Installer_Database!H61))),AND(Customer_Profile!$B$8="Hotel",ISNUMBER(SEARCH("Commercial",Installer_Database!H61))),AND(Customer_Profile!$B$8="School",ISNUMBER(SEARCH("Commercial",Installer_Database!H61)))),8,0)))</f>
        <v>0</v>
      </c>
      <c r="F61">
        <f>IF(C61="","",IFERROR(IF(VALUE(LEFT(Customer_Profile!$B$19,FIND("-",Customer_Profile!$B$19&amp;"-")-1))&lt;=Installer_Database!J61,15,IF(VALUE(LEFT(Customer_Profile!$B$19,FIND("-",Customer_Profile!$B$19&amp;"-")-1))&lt;=Installer_Database!J61*1.25,10,5)),8))</f>
        <v>5</v>
      </c>
      <c r="G61">
        <f>IF(C61="","",IF(Installer_Database!V61="Excellent",15,IF(Installer_Database!V61="Good",12,IF(Installer_Database!V61="Acceptable",8,IF(Installer_Database!V61="Weak",4,IF(Installer_Database!V61="Unverified",5,5))))))</f>
        <v>5</v>
      </c>
      <c r="H61">
        <f>IF(C61="","",IF(Installer_Database!K61="Strong",10,IF(Installer_Database!K61="Moderate",7,IF(Installer_Database!K61="Basic",4,IF(Installer_Database!K61="No",0,5)))))</f>
        <v>5</v>
      </c>
      <c r="I61">
        <f>IF(C61="","",IF(Installer_Database!W61="Excellent",10,IF(Installer_Database!W61="Good",8,IF(Installer_Database!W61="Acceptable",5,IF(Installer_Database!W61="Weak",2,IF(Installer_Database!W61="Unverified",4,4))))))</f>
        <v>4</v>
      </c>
      <c r="J61">
        <f>IF(C61="","",IF(Installer_Database!S61="Excellent",10,IF(Installer_Database!S61="Good",8,IF(Installer_Database!S61="Acceptable",5,IF(Installer_Database!S61="Weak",2,IF(Installer_Database!S61="Unverified",4,IF(Installer_Database!S61="Strong",10,IF(Installer_Database!S61="Basic",5,4))))))))</f>
        <v>4</v>
      </c>
      <c r="K61">
        <f>IF(C61="","",IF(Installer_Database!T61="Same day",5,IF(Installer_Database!T61="24-48 hours",4,IF(Installer_Database!T61="2-3 days",3,IF(Installer_Database!T61="Slow",1,2)))))</f>
        <v>2</v>
      </c>
      <c r="L61">
        <f>IF(C61="","",IF(Installer_Database!U61=Customer_Profile!$B$12,5,IF(OR(Installer_Database!U61="Mid-range",Customer_Profile!$B$12="Unknown"),3,1)))</f>
        <v>1</v>
      </c>
      <c r="M61" s="47">
        <f t="shared" si="0"/>
        <v>26</v>
      </c>
      <c r="N61" s="47">
        <f>100</f>
        <v>100</v>
      </c>
      <c r="O61" s="35">
        <f t="shared" si="1"/>
        <v>0.26</v>
      </c>
      <c r="P61" t="str">
        <f t="shared" si="2"/>
        <v>Do Not Recommend</v>
      </c>
      <c r="Q61" t="str">
        <f t="shared" si="3"/>
        <v>No</v>
      </c>
      <c r="R61" t="str">
        <f t="shared" si="4"/>
        <v/>
      </c>
      <c r="S61">
        <f>IF(C61="","",Installer_Database!Z61)</f>
        <v>0</v>
      </c>
      <c r="T61">
        <f t="shared" si="5"/>
        <v>7</v>
      </c>
    </row>
    <row r="62" spans="1:20">
      <c r="A62" t="str">
        <f>[1]Installer_Database!A62</f>
        <v>INST-058</v>
      </c>
      <c r="B62">
        <f>Installer_Database!Y62</f>
        <v>0</v>
      </c>
      <c r="C62">
        <f>Installer_Database!B62</f>
        <v>0</v>
      </c>
      <c r="D62">
        <f>IF(C62="","",IF(ISNUMBER(SEARCH(Customer_Profile!$B$11,Installer_Database!G62)),15,IF(ISNUMBER(SEARCH(Customer_Profile!$B$10,Installer_Database!F62)),12,IF(ISNUMBER(SEARCH("National",Installer_Database!F62)),7,0))))</f>
        <v>0</v>
      </c>
      <c r="E62">
        <f>IF(C62="","",IF(ISNUMBER(SEARCH(Customer_Profile!$B$8,Installer_Database!H62)),15,IF(OR(AND(Customer_Profile!$B$8="Hospital",ISNUMBER(SEARCH("Commercial",Installer_Database!H62))),AND(Customer_Profile!$B$8="Hotel",ISNUMBER(SEARCH("Commercial",Installer_Database!H62))),AND(Customer_Profile!$B$8="School",ISNUMBER(SEARCH("Commercial",Installer_Database!H62)))),8,0)))</f>
        <v>0</v>
      </c>
      <c r="F62">
        <f>IF(C62="","",IFERROR(IF(VALUE(LEFT(Customer_Profile!$B$19,FIND("-",Customer_Profile!$B$19&amp;"-")-1))&lt;=Installer_Database!J62,15,IF(VALUE(LEFT(Customer_Profile!$B$19,FIND("-",Customer_Profile!$B$19&amp;"-")-1))&lt;=Installer_Database!J62*1.25,10,5)),8))</f>
        <v>5</v>
      </c>
      <c r="G62">
        <f>IF(C62="","",IF(Installer_Database!V62="Excellent",15,IF(Installer_Database!V62="Good",12,IF(Installer_Database!V62="Acceptable",8,IF(Installer_Database!V62="Weak",4,IF(Installer_Database!V62="Unverified",5,5))))))</f>
        <v>5</v>
      </c>
      <c r="H62">
        <f>IF(C62="","",IF(Installer_Database!K62="Strong",10,IF(Installer_Database!K62="Moderate",7,IF(Installer_Database!K62="Basic",4,IF(Installer_Database!K62="No",0,5)))))</f>
        <v>5</v>
      </c>
      <c r="I62">
        <f>IF(C62="","",IF(Installer_Database!W62="Excellent",10,IF(Installer_Database!W62="Good",8,IF(Installer_Database!W62="Acceptable",5,IF(Installer_Database!W62="Weak",2,IF(Installer_Database!W62="Unverified",4,4))))))</f>
        <v>4</v>
      </c>
      <c r="J62">
        <f>IF(C62="","",IF(Installer_Database!S62="Excellent",10,IF(Installer_Database!S62="Good",8,IF(Installer_Database!S62="Acceptable",5,IF(Installer_Database!S62="Weak",2,IF(Installer_Database!S62="Unverified",4,IF(Installer_Database!S62="Strong",10,IF(Installer_Database!S62="Basic",5,4))))))))</f>
        <v>4</v>
      </c>
      <c r="K62">
        <f>IF(C62="","",IF(Installer_Database!T62="Same day",5,IF(Installer_Database!T62="24-48 hours",4,IF(Installer_Database!T62="2-3 days",3,IF(Installer_Database!T62="Slow",1,2)))))</f>
        <v>2</v>
      </c>
      <c r="L62">
        <f>IF(C62="","",IF(Installer_Database!U62=Customer_Profile!$B$12,5,IF(OR(Installer_Database!U62="Mid-range",Customer_Profile!$B$12="Unknown"),3,1)))</f>
        <v>1</v>
      </c>
      <c r="M62" s="47">
        <f t="shared" si="0"/>
        <v>26</v>
      </c>
      <c r="N62" s="47">
        <f>100</f>
        <v>100</v>
      </c>
      <c r="O62" s="35">
        <f t="shared" si="1"/>
        <v>0.26</v>
      </c>
      <c r="P62" t="str">
        <f t="shared" si="2"/>
        <v>Do Not Recommend</v>
      </c>
      <c r="Q62" t="str">
        <f t="shared" si="3"/>
        <v>No</v>
      </c>
      <c r="R62" t="str">
        <f t="shared" si="4"/>
        <v/>
      </c>
      <c r="S62">
        <f>IF(C62="","",Installer_Database!Z62)</f>
        <v>0</v>
      </c>
      <c r="T62">
        <f t="shared" si="5"/>
        <v>7</v>
      </c>
    </row>
    <row r="63" spans="1:20">
      <c r="A63" t="str">
        <f>[1]Installer_Database!A63</f>
        <v>INST-059</v>
      </c>
      <c r="B63">
        <f>Installer_Database!Y63</f>
        <v>0</v>
      </c>
      <c r="C63">
        <f>Installer_Database!B63</f>
        <v>0</v>
      </c>
      <c r="D63">
        <f>IF(C63="","",IF(ISNUMBER(SEARCH(Customer_Profile!$B$11,Installer_Database!G63)),15,IF(ISNUMBER(SEARCH(Customer_Profile!$B$10,Installer_Database!F63)),12,IF(ISNUMBER(SEARCH("National",Installer_Database!F63)),7,0))))</f>
        <v>0</v>
      </c>
      <c r="E63">
        <f>IF(C63="","",IF(ISNUMBER(SEARCH(Customer_Profile!$B$8,Installer_Database!H63)),15,IF(OR(AND(Customer_Profile!$B$8="Hospital",ISNUMBER(SEARCH("Commercial",Installer_Database!H63))),AND(Customer_Profile!$B$8="Hotel",ISNUMBER(SEARCH("Commercial",Installer_Database!H63))),AND(Customer_Profile!$B$8="School",ISNUMBER(SEARCH("Commercial",Installer_Database!H63)))),8,0)))</f>
        <v>0</v>
      </c>
      <c r="F63">
        <f>IF(C63="","",IFERROR(IF(VALUE(LEFT(Customer_Profile!$B$19,FIND("-",Customer_Profile!$B$19&amp;"-")-1))&lt;=Installer_Database!J63,15,IF(VALUE(LEFT(Customer_Profile!$B$19,FIND("-",Customer_Profile!$B$19&amp;"-")-1))&lt;=Installer_Database!J63*1.25,10,5)),8))</f>
        <v>5</v>
      </c>
      <c r="G63">
        <f>IF(C63="","",IF(Installer_Database!V63="Excellent",15,IF(Installer_Database!V63="Good",12,IF(Installer_Database!V63="Acceptable",8,IF(Installer_Database!V63="Weak",4,IF(Installer_Database!V63="Unverified",5,5))))))</f>
        <v>5</v>
      </c>
      <c r="H63">
        <f>IF(C63="","",IF(Installer_Database!K63="Strong",10,IF(Installer_Database!K63="Moderate",7,IF(Installer_Database!K63="Basic",4,IF(Installer_Database!K63="No",0,5)))))</f>
        <v>5</v>
      </c>
      <c r="I63">
        <f>IF(C63="","",IF(Installer_Database!W63="Excellent",10,IF(Installer_Database!W63="Good",8,IF(Installer_Database!W63="Acceptable",5,IF(Installer_Database!W63="Weak",2,IF(Installer_Database!W63="Unverified",4,4))))))</f>
        <v>4</v>
      </c>
      <c r="J63">
        <f>IF(C63="","",IF(Installer_Database!S63="Excellent",10,IF(Installer_Database!S63="Good",8,IF(Installer_Database!S63="Acceptable",5,IF(Installer_Database!S63="Weak",2,IF(Installer_Database!S63="Unverified",4,IF(Installer_Database!S63="Strong",10,IF(Installer_Database!S63="Basic",5,4))))))))</f>
        <v>4</v>
      </c>
      <c r="K63">
        <f>IF(C63="","",IF(Installer_Database!T63="Same day",5,IF(Installer_Database!T63="24-48 hours",4,IF(Installer_Database!T63="2-3 days",3,IF(Installer_Database!T63="Slow",1,2)))))</f>
        <v>2</v>
      </c>
      <c r="L63">
        <f>IF(C63="","",IF(Installer_Database!U63=Customer_Profile!$B$12,5,IF(OR(Installer_Database!U63="Mid-range",Customer_Profile!$B$12="Unknown"),3,1)))</f>
        <v>1</v>
      </c>
      <c r="M63" s="47">
        <f t="shared" si="0"/>
        <v>26</v>
      </c>
      <c r="N63" s="47">
        <f>100</f>
        <v>100</v>
      </c>
      <c r="O63" s="35">
        <f t="shared" si="1"/>
        <v>0.26</v>
      </c>
      <c r="P63" t="str">
        <f t="shared" si="2"/>
        <v>Do Not Recommend</v>
      </c>
      <c r="Q63" t="str">
        <f t="shared" si="3"/>
        <v>No</v>
      </c>
      <c r="R63" t="str">
        <f t="shared" si="4"/>
        <v/>
      </c>
      <c r="S63">
        <f>IF(C63="","",Installer_Database!Z63)</f>
        <v>0</v>
      </c>
      <c r="T63">
        <f t="shared" si="5"/>
        <v>7</v>
      </c>
    </row>
    <row r="64" spans="1:20">
      <c r="A64" t="str">
        <f>[1]Installer_Database!A64</f>
        <v>INST-060</v>
      </c>
      <c r="B64">
        <f>Installer_Database!Y64</f>
        <v>0</v>
      </c>
      <c r="C64">
        <f>Installer_Database!B64</f>
        <v>0</v>
      </c>
      <c r="D64">
        <f>IF(C64="","",IF(ISNUMBER(SEARCH(Customer_Profile!$B$11,Installer_Database!G64)),15,IF(ISNUMBER(SEARCH(Customer_Profile!$B$10,Installer_Database!F64)),12,IF(ISNUMBER(SEARCH("National",Installer_Database!F64)),7,0))))</f>
        <v>0</v>
      </c>
      <c r="E64">
        <f>IF(C64="","",IF(ISNUMBER(SEARCH(Customer_Profile!$B$8,Installer_Database!H64)),15,IF(OR(AND(Customer_Profile!$B$8="Hospital",ISNUMBER(SEARCH("Commercial",Installer_Database!H64))),AND(Customer_Profile!$B$8="Hotel",ISNUMBER(SEARCH("Commercial",Installer_Database!H64))),AND(Customer_Profile!$B$8="School",ISNUMBER(SEARCH("Commercial",Installer_Database!H64)))),8,0)))</f>
        <v>0</v>
      </c>
      <c r="F64">
        <f>IF(C64="","",IFERROR(IF(VALUE(LEFT(Customer_Profile!$B$19,FIND("-",Customer_Profile!$B$19&amp;"-")-1))&lt;=Installer_Database!J64,15,IF(VALUE(LEFT(Customer_Profile!$B$19,FIND("-",Customer_Profile!$B$19&amp;"-")-1))&lt;=Installer_Database!J64*1.25,10,5)),8))</f>
        <v>5</v>
      </c>
      <c r="G64">
        <f>IF(C64="","",IF(Installer_Database!V64="Excellent",15,IF(Installer_Database!V64="Good",12,IF(Installer_Database!V64="Acceptable",8,IF(Installer_Database!V64="Weak",4,IF(Installer_Database!V64="Unverified",5,5))))))</f>
        <v>5</v>
      </c>
      <c r="H64">
        <f>IF(C64="","",IF(Installer_Database!K64="Strong",10,IF(Installer_Database!K64="Moderate",7,IF(Installer_Database!K64="Basic",4,IF(Installer_Database!K64="No",0,5)))))</f>
        <v>5</v>
      </c>
      <c r="I64">
        <f>IF(C64="","",IF(Installer_Database!W64="Excellent",10,IF(Installer_Database!W64="Good",8,IF(Installer_Database!W64="Acceptable",5,IF(Installer_Database!W64="Weak",2,IF(Installer_Database!W64="Unverified",4,4))))))</f>
        <v>4</v>
      </c>
      <c r="J64">
        <f>IF(C64="","",IF(Installer_Database!S64="Excellent",10,IF(Installer_Database!S64="Good",8,IF(Installer_Database!S64="Acceptable",5,IF(Installer_Database!S64="Weak",2,IF(Installer_Database!S64="Unverified",4,IF(Installer_Database!S64="Strong",10,IF(Installer_Database!S64="Basic",5,4))))))))</f>
        <v>4</v>
      </c>
      <c r="K64">
        <f>IF(C64="","",IF(Installer_Database!T64="Same day",5,IF(Installer_Database!T64="24-48 hours",4,IF(Installer_Database!T64="2-3 days",3,IF(Installer_Database!T64="Slow",1,2)))))</f>
        <v>2</v>
      </c>
      <c r="L64">
        <f>IF(C64="","",IF(Installer_Database!U64=Customer_Profile!$B$12,5,IF(OR(Installer_Database!U64="Mid-range",Customer_Profile!$B$12="Unknown"),3,1)))</f>
        <v>1</v>
      </c>
      <c r="M64" s="47">
        <f t="shared" si="0"/>
        <v>26</v>
      </c>
      <c r="N64" s="47">
        <f>100</f>
        <v>100</v>
      </c>
      <c r="O64" s="35">
        <f t="shared" si="1"/>
        <v>0.26</v>
      </c>
      <c r="P64" t="str">
        <f t="shared" si="2"/>
        <v>Do Not Recommend</v>
      </c>
      <c r="Q64" t="str">
        <f t="shared" si="3"/>
        <v>No</v>
      </c>
      <c r="R64" t="str">
        <f t="shared" si="4"/>
        <v/>
      </c>
      <c r="S64">
        <f>IF(C64="","",Installer_Database!Z64)</f>
        <v>0</v>
      </c>
      <c r="T64">
        <f t="shared" si="5"/>
        <v>7</v>
      </c>
    </row>
    <row r="65" spans="1:20">
      <c r="A65" t="str">
        <f>[1]Installer_Database!A65</f>
        <v>INST-061</v>
      </c>
      <c r="B65">
        <f>Installer_Database!Y65</f>
        <v>0</v>
      </c>
      <c r="C65">
        <f>Installer_Database!B65</f>
        <v>0</v>
      </c>
      <c r="D65">
        <f>IF(C65="","",IF(ISNUMBER(SEARCH(Customer_Profile!$B$11,Installer_Database!G65)),15,IF(ISNUMBER(SEARCH(Customer_Profile!$B$10,Installer_Database!F65)),12,IF(ISNUMBER(SEARCH("National",Installer_Database!F65)),7,0))))</f>
        <v>0</v>
      </c>
      <c r="E65">
        <f>IF(C65="","",IF(ISNUMBER(SEARCH(Customer_Profile!$B$8,Installer_Database!H65)),15,IF(OR(AND(Customer_Profile!$B$8="Hospital",ISNUMBER(SEARCH("Commercial",Installer_Database!H65))),AND(Customer_Profile!$B$8="Hotel",ISNUMBER(SEARCH("Commercial",Installer_Database!H65))),AND(Customer_Profile!$B$8="School",ISNUMBER(SEARCH("Commercial",Installer_Database!H65)))),8,0)))</f>
        <v>0</v>
      </c>
      <c r="F65">
        <f>IF(C65="","",IFERROR(IF(VALUE(LEFT(Customer_Profile!$B$19,FIND("-",Customer_Profile!$B$19&amp;"-")-1))&lt;=Installer_Database!J65,15,IF(VALUE(LEFT(Customer_Profile!$B$19,FIND("-",Customer_Profile!$B$19&amp;"-")-1))&lt;=Installer_Database!J65*1.25,10,5)),8))</f>
        <v>5</v>
      </c>
      <c r="G65">
        <f>IF(C65="","",IF(Installer_Database!V65="Excellent",15,IF(Installer_Database!V65="Good",12,IF(Installer_Database!V65="Acceptable",8,IF(Installer_Database!V65="Weak",4,IF(Installer_Database!V65="Unverified",5,5))))))</f>
        <v>5</v>
      </c>
      <c r="H65">
        <f>IF(C65="","",IF(Installer_Database!K65="Strong",10,IF(Installer_Database!K65="Moderate",7,IF(Installer_Database!K65="Basic",4,IF(Installer_Database!K65="No",0,5)))))</f>
        <v>5</v>
      </c>
      <c r="I65">
        <f>IF(C65="","",IF(Installer_Database!W65="Excellent",10,IF(Installer_Database!W65="Good",8,IF(Installer_Database!W65="Acceptable",5,IF(Installer_Database!W65="Weak",2,IF(Installer_Database!W65="Unverified",4,4))))))</f>
        <v>4</v>
      </c>
      <c r="J65">
        <f>IF(C65="","",IF(Installer_Database!S65="Excellent",10,IF(Installer_Database!S65="Good",8,IF(Installer_Database!S65="Acceptable",5,IF(Installer_Database!S65="Weak",2,IF(Installer_Database!S65="Unverified",4,IF(Installer_Database!S65="Strong",10,IF(Installer_Database!S65="Basic",5,4))))))))</f>
        <v>4</v>
      </c>
      <c r="K65">
        <f>IF(C65="","",IF(Installer_Database!T65="Same day",5,IF(Installer_Database!T65="24-48 hours",4,IF(Installer_Database!T65="2-3 days",3,IF(Installer_Database!T65="Slow",1,2)))))</f>
        <v>2</v>
      </c>
      <c r="L65">
        <f>IF(C65="","",IF(Installer_Database!U65=Customer_Profile!$B$12,5,IF(OR(Installer_Database!U65="Mid-range",Customer_Profile!$B$12="Unknown"),3,1)))</f>
        <v>1</v>
      </c>
      <c r="M65" s="47">
        <f t="shared" si="0"/>
        <v>26</v>
      </c>
      <c r="N65" s="47">
        <f>100</f>
        <v>100</v>
      </c>
      <c r="O65" s="35">
        <f t="shared" si="1"/>
        <v>0.26</v>
      </c>
      <c r="P65" t="str">
        <f t="shared" si="2"/>
        <v>Do Not Recommend</v>
      </c>
      <c r="Q65" t="str">
        <f t="shared" si="3"/>
        <v>No</v>
      </c>
      <c r="R65" t="str">
        <f t="shared" si="4"/>
        <v/>
      </c>
      <c r="S65">
        <f>IF(C65="","",Installer_Database!Z65)</f>
        <v>0</v>
      </c>
      <c r="T65">
        <f t="shared" si="5"/>
        <v>7</v>
      </c>
    </row>
    <row r="66" spans="1:20">
      <c r="A66" t="str">
        <f>[1]Installer_Database!A66</f>
        <v>INST-062</v>
      </c>
      <c r="B66">
        <f>Installer_Database!Y66</f>
        <v>0</v>
      </c>
      <c r="C66">
        <f>Installer_Database!B66</f>
        <v>0</v>
      </c>
      <c r="D66">
        <f>IF(C66="","",IF(ISNUMBER(SEARCH(Customer_Profile!$B$11,Installer_Database!G66)),15,IF(ISNUMBER(SEARCH(Customer_Profile!$B$10,Installer_Database!F66)),12,IF(ISNUMBER(SEARCH("National",Installer_Database!F66)),7,0))))</f>
        <v>0</v>
      </c>
      <c r="E66">
        <f>IF(C66="","",IF(ISNUMBER(SEARCH(Customer_Profile!$B$8,Installer_Database!H66)),15,IF(OR(AND(Customer_Profile!$B$8="Hospital",ISNUMBER(SEARCH("Commercial",Installer_Database!H66))),AND(Customer_Profile!$B$8="Hotel",ISNUMBER(SEARCH("Commercial",Installer_Database!H66))),AND(Customer_Profile!$B$8="School",ISNUMBER(SEARCH("Commercial",Installer_Database!H66)))),8,0)))</f>
        <v>0</v>
      </c>
      <c r="F66">
        <f>IF(C66="","",IFERROR(IF(VALUE(LEFT(Customer_Profile!$B$19,FIND("-",Customer_Profile!$B$19&amp;"-")-1))&lt;=Installer_Database!J66,15,IF(VALUE(LEFT(Customer_Profile!$B$19,FIND("-",Customer_Profile!$B$19&amp;"-")-1))&lt;=Installer_Database!J66*1.25,10,5)),8))</f>
        <v>5</v>
      </c>
      <c r="G66">
        <f>IF(C66="","",IF(Installer_Database!V66="Excellent",15,IF(Installer_Database!V66="Good",12,IF(Installer_Database!V66="Acceptable",8,IF(Installer_Database!V66="Weak",4,IF(Installer_Database!V66="Unverified",5,5))))))</f>
        <v>5</v>
      </c>
      <c r="H66">
        <f>IF(C66="","",IF(Installer_Database!K66="Strong",10,IF(Installer_Database!K66="Moderate",7,IF(Installer_Database!K66="Basic",4,IF(Installer_Database!K66="No",0,5)))))</f>
        <v>5</v>
      </c>
      <c r="I66">
        <f>IF(C66="","",IF(Installer_Database!W66="Excellent",10,IF(Installer_Database!W66="Good",8,IF(Installer_Database!W66="Acceptable",5,IF(Installer_Database!W66="Weak",2,IF(Installer_Database!W66="Unverified",4,4))))))</f>
        <v>4</v>
      </c>
      <c r="J66">
        <f>IF(C66="","",IF(Installer_Database!S66="Excellent",10,IF(Installer_Database!S66="Good",8,IF(Installer_Database!S66="Acceptable",5,IF(Installer_Database!S66="Weak",2,IF(Installer_Database!S66="Unverified",4,IF(Installer_Database!S66="Strong",10,IF(Installer_Database!S66="Basic",5,4))))))))</f>
        <v>4</v>
      </c>
      <c r="K66">
        <f>IF(C66="","",IF(Installer_Database!T66="Same day",5,IF(Installer_Database!T66="24-48 hours",4,IF(Installer_Database!T66="2-3 days",3,IF(Installer_Database!T66="Slow",1,2)))))</f>
        <v>2</v>
      </c>
      <c r="L66">
        <f>IF(C66="","",IF(Installer_Database!U66=Customer_Profile!$B$12,5,IF(OR(Installer_Database!U66="Mid-range",Customer_Profile!$B$12="Unknown"),3,1)))</f>
        <v>1</v>
      </c>
      <c r="M66" s="47">
        <f t="shared" ref="M66:M101" si="6">IF(C66="","",SUM(D66:L66))</f>
        <v>26</v>
      </c>
      <c r="N66" s="47">
        <f>100</f>
        <v>100</v>
      </c>
      <c r="O66" s="35">
        <f t="shared" ref="O66:O101" si="7">IF(C66="","",M66/N66)</f>
        <v>0.26</v>
      </c>
      <c r="P66" t="str">
        <f t="shared" ref="P66:P101" si="8">IF(C66="","",IF(O66&gt;=0.85,"Excellent Match",IF(O66&gt;=0.7,"Good Match",IF(O66&gt;=0.55,"Possible Match","Do Not Recommend"))))</f>
        <v>Do Not Recommend</v>
      </c>
      <c r="Q66" t="str">
        <f t="shared" ref="Q66:Q101" si="9">IF(C66="","",IF(AND(O66&gt;=0.7,OR(B66="Approved",B66="Preferred")),"Yes","No"))</f>
        <v>No</v>
      </c>
      <c r="R66" t="str">
        <f t="shared" si="4"/>
        <v/>
      </c>
      <c r="S66">
        <f>IF(C66="","",Installer_Database!Z66)</f>
        <v>0</v>
      </c>
      <c r="T66">
        <f t="shared" si="5"/>
        <v>7</v>
      </c>
    </row>
    <row r="67" spans="1:20">
      <c r="A67" t="str">
        <f>[1]Installer_Database!A67</f>
        <v>INST-063</v>
      </c>
      <c r="B67">
        <f>Installer_Database!Y67</f>
        <v>0</v>
      </c>
      <c r="C67">
        <f>Installer_Database!B67</f>
        <v>0</v>
      </c>
      <c r="D67">
        <f>IF(C67="","",IF(ISNUMBER(SEARCH(Customer_Profile!$B$11,Installer_Database!G67)),15,IF(ISNUMBER(SEARCH(Customer_Profile!$B$10,Installer_Database!F67)),12,IF(ISNUMBER(SEARCH("National",Installer_Database!F67)),7,0))))</f>
        <v>0</v>
      </c>
      <c r="E67">
        <f>IF(C67="","",IF(ISNUMBER(SEARCH(Customer_Profile!$B$8,Installer_Database!H67)),15,IF(OR(AND(Customer_Profile!$B$8="Hospital",ISNUMBER(SEARCH("Commercial",Installer_Database!H67))),AND(Customer_Profile!$B$8="Hotel",ISNUMBER(SEARCH("Commercial",Installer_Database!H67))),AND(Customer_Profile!$B$8="School",ISNUMBER(SEARCH("Commercial",Installer_Database!H67)))),8,0)))</f>
        <v>0</v>
      </c>
      <c r="F67">
        <f>IF(C67="","",IFERROR(IF(VALUE(LEFT(Customer_Profile!$B$19,FIND("-",Customer_Profile!$B$19&amp;"-")-1))&lt;=Installer_Database!J67,15,IF(VALUE(LEFT(Customer_Profile!$B$19,FIND("-",Customer_Profile!$B$19&amp;"-")-1))&lt;=Installer_Database!J67*1.25,10,5)),8))</f>
        <v>5</v>
      </c>
      <c r="G67">
        <f>IF(C67="","",IF(Installer_Database!V67="Excellent",15,IF(Installer_Database!V67="Good",12,IF(Installer_Database!V67="Acceptable",8,IF(Installer_Database!V67="Weak",4,IF(Installer_Database!V67="Unverified",5,5))))))</f>
        <v>5</v>
      </c>
      <c r="H67">
        <f>IF(C67="","",IF(Installer_Database!K67="Strong",10,IF(Installer_Database!K67="Moderate",7,IF(Installer_Database!K67="Basic",4,IF(Installer_Database!K67="No",0,5)))))</f>
        <v>5</v>
      </c>
      <c r="I67">
        <f>IF(C67="","",IF(Installer_Database!W67="Excellent",10,IF(Installer_Database!W67="Good",8,IF(Installer_Database!W67="Acceptable",5,IF(Installer_Database!W67="Weak",2,IF(Installer_Database!W67="Unverified",4,4))))))</f>
        <v>4</v>
      </c>
      <c r="J67">
        <f>IF(C67="","",IF(Installer_Database!S67="Excellent",10,IF(Installer_Database!S67="Good",8,IF(Installer_Database!S67="Acceptable",5,IF(Installer_Database!S67="Weak",2,IF(Installer_Database!S67="Unverified",4,IF(Installer_Database!S67="Strong",10,IF(Installer_Database!S67="Basic",5,4))))))))</f>
        <v>4</v>
      </c>
      <c r="K67">
        <f>IF(C67="","",IF(Installer_Database!T67="Same day",5,IF(Installer_Database!T67="24-48 hours",4,IF(Installer_Database!T67="2-3 days",3,IF(Installer_Database!T67="Slow",1,2)))))</f>
        <v>2</v>
      </c>
      <c r="L67">
        <f>IF(C67="","",IF(Installer_Database!U67=Customer_Profile!$B$12,5,IF(OR(Installer_Database!U67="Mid-range",Customer_Profile!$B$12="Unknown"),3,1)))</f>
        <v>1</v>
      </c>
      <c r="M67" s="47">
        <f t="shared" si="6"/>
        <v>26</v>
      </c>
      <c r="N67" s="47">
        <f>100</f>
        <v>100</v>
      </c>
      <c r="O67" s="35">
        <f t="shared" si="7"/>
        <v>0.26</v>
      </c>
      <c r="P67" t="str">
        <f t="shared" si="8"/>
        <v>Do Not Recommend</v>
      </c>
      <c r="Q67" t="str">
        <f t="shared" si="9"/>
        <v>No</v>
      </c>
      <c r="R67" t="str">
        <f t="shared" si="4"/>
        <v/>
      </c>
      <c r="S67">
        <f>IF(C67="","",Installer_Database!Z67)</f>
        <v>0</v>
      </c>
      <c r="T67">
        <f t="shared" si="5"/>
        <v>7</v>
      </c>
    </row>
    <row r="68" spans="1:20">
      <c r="A68" t="str">
        <f>[1]Installer_Database!A68</f>
        <v>INST-064</v>
      </c>
      <c r="B68">
        <f>Installer_Database!Y68</f>
        <v>0</v>
      </c>
      <c r="C68">
        <f>Installer_Database!B68</f>
        <v>0</v>
      </c>
      <c r="D68">
        <f>IF(C68="","",IF(ISNUMBER(SEARCH(Customer_Profile!$B$11,Installer_Database!G68)),15,IF(ISNUMBER(SEARCH(Customer_Profile!$B$10,Installer_Database!F68)),12,IF(ISNUMBER(SEARCH("National",Installer_Database!F68)),7,0))))</f>
        <v>0</v>
      </c>
      <c r="E68">
        <f>IF(C68="","",IF(ISNUMBER(SEARCH(Customer_Profile!$B$8,Installer_Database!H68)),15,IF(OR(AND(Customer_Profile!$B$8="Hospital",ISNUMBER(SEARCH("Commercial",Installer_Database!H68))),AND(Customer_Profile!$B$8="Hotel",ISNUMBER(SEARCH("Commercial",Installer_Database!H68))),AND(Customer_Profile!$B$8="School",ISNUMBER(SEARCH("Commercial",Installer_Database!H68)))),8,0)))</f>
        <v>0</v>
      </c>
      <c r="F68">
        <f>IF(C68="","",IFERROR(IF(VALUE(LEFT(Customer_Profile!$B$19,FIND("-",Customer_Profile!$B$19&amp;"-")-1))&lt;=Installer_Database!J68,15,IF(VALUE(LEFT(Customer_Profile!$B$19,FIND("-",Customer_Profile!$B$19&amp;"-")-1))&lt;=Installer_Database!J68*1.25,10,5)),8))</f>
        <v>5</v>
      </c>
      <c r="G68">
        <f>IF(C68="","",IF(Installer_Database!V68="Excellent",15,IF(Installer_Database!V68="Good",12,IF(Installer_Database!V68="Acceptable",8,IF(Installer_Database!V68="Weak",4,IF(Installer_Database!V68="Unverified",5,5))))))</f>
        <v>5</v>
      </c>
      <c r="H68">
        <f>IF(C68="","",IF(Installer_Database!K68="Strong",10,IF(Installer_Database!K68="Moderate",7,IF(Installer_Database!K68="Basic",4,IF(Installer_Database!K68="No",0,5)))))</f>
        <v>5</v>
      </c>
      <c r="I68">
        <f>IF(C68="","",IF(Installer_Database!W68="Excellent",10,IF(Installer_Database!W68="Good",8,IF(Installer_Database!W68="Acceptable",5,IF(Installer_Database!W68="Weak",2,IF(Installer_Database!W68="Unverified",4,4))))))</f>
        <v>4</v>
      </c>
      <c r="J68">
        <f>IF(C68="","",IF(Installer_Database!S68="Excellent",10,IF(Installer_Database!S68="Good",8,IF(Installer_Database!S68="Acceptable",5,IF(Installer_Database!S68="Weak",2,IF(Installer_Database!S68="Unverified",4,IF(Installer_Database!S68="Strong",10,IF(Installer_Database!S68="Basic",5,4))))))))</f>
        <v>4</v>
      </c>
      <c r="K68">
        <f>IF(C68="","",IF(Installer_Database!T68="Same day",5,IF(Installer_Database!T68="24-48 hours",4,IF(Installer_Database!T68="2-3 days",3,IF(Installer_Database!T68="Slow",1,2)))))</f>
        <v>2</v>
      </c>
      <c r="L68">
        <f>IF(C68="","",IF(Installer_Database!U68=Customer_Profile!$B$12,5,IF(OR(Installer_Database!U68="Mid-range",Customer_Profile!$B$12="Unknown"),3,1)))</f>
        <v>1</v>
      </c>
      <c r="M68" s="47">
        <f t="shared" si="6"/>
        <v>26</v>
      </c>
      <c r="N68" s="47">
        <f>100</f>
        <v>100</v>
      </c>
      <c r="O68" s="35">
        <f t="shared" si="7"/>
        <v>0.26</v>
      </c>
      <c r="P68" t="str">
        <f t="shared" si="8"/>
        <v>Do Not Recommend</v>
      </c>
      <c r="Q68" t="str">
        <f t="shared" si="9"/>
        <v>No</v>
      </c>
      <c r="R68" t="str">
        <f t="shared" si="4"/>
        <v/>
      </c>
      <c r="S68">
        <f>IF(C68="","",Installer_Database!Z68)</f>
        <v>0</v>
      </c>
      <c r="T68">
        <f t="shared" si="5"/>
        <v>7</v>
      </c>
    </row>
    <row r="69" spans="1:20">
      <c r="A69" t="str">
        <f>[1]Installer_Database!A69</f>
        <v>INST-065</v>
      </c>
      <c r="B69">
        <f>Installer_Database!Y69</f>
        <v>0</v>
      </c>
      <c r="C69">
        <f>Installer_Database!B69</f>
        <v>0</v>
      </c>
      <c r="D69">
        <f>IF(C69="","",IF(ISNUMBER(SEARCH(Customer_Profile!$B$11,Installer_Database!G69)),15,IF(ISNUMBER(SEARCH(Customer_Profile!$B$10,Installer_Database!F69)),12,IF(ISNUMBER(SEARCH("National",Installer_Database!F69)),7,0))))</f>
        <v>0</v>
      </c>
      <c r="E69">
        <f>IF(C69="","",IF(ISNUMBER(SEARCH(Customer_Profile!$B$8,Installer_Database!H69)),15,IF(OR(AND(Customer_Profile!$B$8="Hospital",ISNUMBER(SEARCH("Commercial",Installer_Database!H69))),AND(Customer_Profile!$B$8="Hotel",ISNUMBER(SEARCH("Commercial",Installer_Database!H69))),AND(Customer_Profile!$B$8="School",ISNUMBER(SEARCH("Commercial",Installer_Database!H69)))),8,0)))</f>
        <v>0</v>
      </c>
      <c r="F69">
        <f>IF(C69="","",IFERROR(IF(VALUE(LEFT(Customer_Profile!$B$19,FIND("-",Customer_Profile!$B$19&amp;"-")-1))&lt;=Installer_Database!J69,15,IF(VALUE(LEFT(Customer_Profile!$B$19,FIND("-",Customer_Profile!$B$19&amp;"-")-1))&lt;=Installer_Database!J69*1.25,10,5)),8))</f>
        <v>5</v>
      </c>
      <c r="G69">
        <f>IF(C69="","",IF(Installer_Database!V69="Excellent",15,IF(Installer_Database!V69="Good",12,IF(Installer_Database!V69="Acceptable",8,IF(Installer_Database!V69="Weak",4,IF(Installer_Database!V69="Unverified",5,5))))))</f>
        <v>5</v>
      </c>
      <c r="H69">
        <f>IF(C69="","",IF(Installer_Database!K69="Strong",10,IF(Installer_Database!K69="Moderate",7,IF(Installer_Database!K69="Basic",4,IF(Installer_Database!K69="No",0,5)))))</f>
        <v>5</v>
      </c>
      <c r="I69">
        <f>IF(C69="","",IF(Installer_Database!W69="Excellent",10,IF(Installer_Database!W69="Good",8,IF(Installer_Database!W69="Acceptable",5,IF(Installer_Database!W69="Weak",2,IF(Installer_Database!W69="Unverified",4,4))))))</f>
        <v>4</v>
      </c>
      <c r="J69">
        <f>IF(C69="","",IF(Installer_Database!S69="Excellent",10,IF(Installer_Database!S69="Good",8,IF(Installer_Database!S69="Acceptable",5,IF(Installer_Database!S69="Weak",2,IF(Installer_Database!S69="Unverified",4,IF(Installer_Database!S69="Strong",10,IF(Installer_Database!S69="Basic",5,4))))))))</f>
        <v>4</v>
      </c>
      <c r="K69">
        <f>IF(C69="","",IF(Installer_Database!T69="Same day",5,IF(Installer_Database!T69="24-48 hours",4,IF(Installer_Database!T69="2-3 days",3,IF(Installer_Database!T69="Slow",1,2)))))</f>
        <v>2</v>
      </c>
      <c r="L69">
        <f>IF(C69="","",IF(Installer_Database!U69=Customer_Profile!$B$12,5,IF(OR(Installer_Database!U69="Mid-range",Customer_Profile!$B$12="Unknown"),3,1)))</f>
        <v>1</v>
      </c>
      <c r="M69" s="47">
        <f t="shared" si="6"/>
        <v>26</v>
      </c>
      <c r="N69" s="47">
        <f>100</f>
        <v>100</v>
      </c>
      <c r="O69" s="35">
        <f t="shared" si="7"/>
        <v>0.26</v>
      </c>
      <c r="P69" t="str">
        <f t="shared" si="8"/>
        <v>Do Not Recommend</v>
      </c>
      <c r="Q69" t="str">
        <f t="shared" si="9"/>
        <v>No</v>
      </c>
      <c r="R69" t="str">
        <f t="shared" si="4"/>
        <v/>
      </c>
      <c r="S69">
        <f>IF(C69="","",Installer_Database!Z69)</f>
        <v>0</v>
      </c>
      <c r="T69">
        <f t="shared" si="5"/>
        <v>7</v>
      </c>
    </row>
    <row r="70" spans="1:20">
      <c r="A70" t="str">
        <f>[1]Installer_Database!A70</f>
        <v>INST-066</v>
      </c>
      <c r="B70">
        <f>Installer_Database!Y70</f>
        <v>0</v>
      </c>
      <c r="C70">
        <f>Installer_Database!B70</f>
        <v>0</v>
      </c>
      <c r="D70">
        <f>IF(C70="","",IF(ISNUMBER(SEARCH(Customer_Profile!$B$11,Installer_Database!G70)),15,IF(ISNUMBER(SEARCH(Customer_Profile!$B$10,Installer_Database!F70)),12,IF(ISNUMBER(SEARCH("National",Installer_Database!F70)),7,0))))</f>
        <v>0</v>
      </c>
      <c r="E70">
        <f>IF(C70="","",IF(ISNUMBER(SEARCH(Customer_Profile!$B$8,Installer_Database!H70)),15,IF(OR(AND(Customer_Profile!$B$8="Hospital",ISNUMBER(SEARCH("Commercial",Installer_Database!H70))),AND(Customer_Profile!$B$8="Hotel",ISNUMBER(SEARCH("Commercial",Installer_Database!H70))),AND(Customer_Profile!$B$8="School",ISNUMBER(SEARCH("Commercial",Installer_Database!H70)))),8,0)))</f>
        <v>0</v>
      </c>
      <c r="F70">
        <f>IF(C70="","",IFERROR(IF(VALUE(LEFT(Customer_Profile!$B$19,FIND("-",Customer_Profile!$B$19&amp;"-")-1))&lt;=Installer_Database!J70,15,IF(VALUE(LEFT(Customer_Profile!$B$19,FIND("-",Customer_Profile!$B$19&amp;"-")-1))&lt;=Installer_Database!J70*1.25,10,5)),8))</f>
        <v>5</v>
      </c>
      <c r="G70">
        <f>IF(C70="","",IF(Installer_Database!V70="Excellent",15,IF(Installer_Database!V70="Good",12,IF(Installer_Database!V70="Acceptable",8,IF(Installer_Database!V70="Weak",4,IF(Installer_Database!V70="Unverified",5,5))))))</f>
        <v>5</v>
      </c>
      <c r="H70">
        <f>IF(C70="","",IF(Installer_Database!K70="Strong",10,IF(Installer_Database!K70="Moderate",7,IF(Installer_Database!K70="Basic",4,IF(Installer_Database!K70="No",0,5)))))</f>
        <v>5</v>
      </c>
      <c r="I70">
        <f>IF(C70="","",IF(Installer_Database!W70="Excellent",10,IF(Installer_Database!W70="Good",8,IF(Installer_Database!W70="Acceptable",5,IF(Installer_Database!W70="Weak",2,IF(Installer_Database!W70="Unverified",4,4))))))</f>
        <v>4</v>
      </c>
      <c r="J70">
        <f>IF(C70="","",IF(Installer_Database!S70="Excellent",10,IF(Installer_Database!S70="Good",8,IF(Installer_Database!S70="Acceptable",5,IF(Installer_Database!S70="Weak",2,IF(Installer_Database!S70="Unverified",4,IF(Installer_Database!S70="Strong",10,IF(Installer_Database!S70="Basic",5,4))))))))</f>
        <v>4</v>
      </c>
      <c r="K70">
        <f>IF(C70="","",IF(Installer_Database!T70="Same day",5,IF(Installer_Database!T70="24-48 hours",4,IF(Installer_Database!T70="2-3 days",3,IF(Installer_Database!T70="Slow",1,2)))))</f>
        <v>2</v>
      </c>
      <c r="L70">
        <f>IF(C70="","",IF(Installer_Database!U70=Customer_Profile!$B$12,5,IF(OR(Installer_Database!U70="Mid-range",Customer_Profile!$B$12="Unknown"),3,1)))</f>
        <v>1</v>
      </c>
      <c r="M70" s="47">
        <f t="shared" si="6"/>
        <v>26</v>
      </c>
      <c r="N70" s="47">
        <f>100</f>
        <v>100</v>
      </c>
      <c r="O70" s="35">
        <f t="shared" si="7"/>
        <v>0.26</v>
      </c>
      <c r="P70" t="str">
        <f t="shared" si="8"/>
        <v>Do Not Recommend</v>
      </c>
      <c r="Q70" t="str">
        <f t="shared" si="9"/>
        <v>No</v>
      </c>
      <c r="R70" t="str">
        <f t="shared" ref="R70:R104" si="10">IF(C70="","",IF(LEN(IF(D70&gt;=12,"; serves your location","") &amp;IF(E70&gt;=15,"; experienced in your project type",IF(E70&gt;=8,"; related project experience","")) &amp;IF(H70&gt;=7,"; good battery/hybrid capability","") &amp;IF(J70&gt;=8,"; strong after-sales support",""))=0,"",
MID(IF(D70&gt;=12,"; serves your location","") &amp;IF(E70&gt;=15,"; experienced in your project type",IF(E70&gt;=8,"; related project experience","")) &amp;IF(H70&gt;=7,"; good battery/hybrid capability","") &amp;IF(J70&gt;=8,"; strong after-sales support",""),3,999)))</f>
        <v/>
      </c>
      <c r="S70">
        <f>IF(C70="","",Installer_Database!Z70)</f>
        <v>0</v>
      </c>
      <c r="T70">
        <f t="shared" ref="T70:T104" si="11">IFERROR(RANK(O70,$O$5:$O$104,0),"")</f>
        <v>7</v>
      </c>
    </row>
    <row r="71" spans="1:20">
      <c r="A71" t="str">
        <f>[1]Installer_Database!A71</f>
        <v>INST-067</v>
      </c>
      <c r="B71">
        <f>Installer_Database!Y71</f>
        <v>0</v>
      </c>
      <c r="C71">
        <f>Installer_Database!B71</f>
        <v>0</v>
      </c>
      <c r="D71">
        <f>IF(C71="","",IF(ISNUMBER(SEARCH(Customer_Profile!$B$11,Installer_Database!G71)),15,IF(ISNUMBER(SEARCH(Customer_Profile!$B$10,Installer_Database!F71)),12,IF(ISNUMBER(SEARCH("National",Installer_Database!F71)),7,0))))</f>
        <v>0</v>
      </c>
      <c r="E71">
        <f>IF(C71="","",IF(ISNUMBER(SEARCH(Customer_Profile!$B$8,Installer_Database!H71)),15,IF(OR(AND(Customer_Profile!$B$8="Hospital",ISNUMBER(SEARCH("Commercial",Installer_Database!H71))),AND(Customer_Profile!$B$8="Hotel",ISNUMBER(SEARCH("Commercial",Installer_Database!H71))),AND(Customer_Profile!$B$8="School",ISNUMBER(SEARCH("Commercial",Installer_Database!H71)))),8,0)))</f>
        <v>0</v>
      </c>
      <c r="F71">
        <f>IF(C71="","",IFERROR(IF(VALUE(LEFT(Customer_Profile!$B$19,FIND("-",Customer_Profile!$B$19&amp;"-")-1))&lt;=Installer_Database!J71,15,IF(VALUE(LEFT(Customer_Profile!$B$19,FIND("-",Customer_Profile!$B$19&amp;"-")-1))&lt;=Installer_Database!J71*1.25,10,5)),8))</f>
        <v>5</v>
      </c>
      <c r="G71">
        <f>IF(C71="","",IF(Installer_Database!V71="Excellent",15,IF(Installer_Database!V71="Good",12,IF(Installer_Database!V71="Acceptable",8,IF(Installer_Database!V71="Weak",4,IF(Installer_Database!V71="Unverified",5,5))))))</f>
        <v>5</v>
      </c>
      <c r="H71">
        <f>IF(C71="","",IF(Installer_Database!K71="Strong",10,IF(Installer_Database!K71="Moderate",7,IF(Installer_Database!K71="Basic",4,IF(Installer_Database!K71="No",0,5)))))</f>
        <v>5</v>
      </c>
      <c r="I71">
        <f>IF(C71="","",IF(Installer_Database!W71="Excellent",10,IF(Installer_Database!W71="Good",8,IF(Installer_Database!W71="Acceptable",5,IF(Installer_Database!W71="Weak",2,IF(Installer_Database!W71="Unverified",4,4))))))</f>
        <v>4</v>
      </c>
      <c r="J71">
        <f>IF(C71="","",IF(Installer_Database!S71="Excellent",10,IF(Installer_Database!S71="Good",8,IF(Installer_Database!S71="Acceptable",5,IF(Installer_Database!S71="Weak",2,IF(Installer_Database!S71="Unverified",4,IF(Installer_Database!S71="Strong",10,IF(Installer_Database!S71="Basic",5,4))))))))</f>
        <v>4</v>
      </c>
      <c r="K71">
        <f>IF(C71="","",IF(Installer_Database!T71="Same day",5,IF(Installer_Database!T71="24-48 hours",4,IF(Installer_Database!T71="2-3 days",3,IF(Installer_Database!T71="Slow",1,2)))))</f>
        <v>2</v>
      </c>
      <c r="L71">
        <f>IF(C71="","",IF(Installer_Database!U71=Customer_Profile!$B$12,5,IF(OR(Installer_Database!U71="Mid-range",Customer_Profile!$B$12="Unknown"),3,1)))</f>
        <v>1</v>
      </c>
      <c r="M71" s="47">
        <f t="shared" si="6"/>
        <v>26</v>
      </c>
      <c r="N71" s="47">
        <f>100</f>
        <v>100</v>
      </c>
      <c r="O71" s="35">
        <f t="shared" si="7"/>
        <v>0.26</v>
      </c>
      <c r="P71" t="str">
        <f t="shared" si="8"/>
        <v>Do Not Recommend</v>
      </c>
      <c r="Q71" t="str">
        <f t="shared" si="9"/>
        <v>No</v>
      </c>
      <c r="R71" t="str">
        <f t="shared" si="10"/>
        <v/>
      </c>
      <c r="S71">
        <f>IF(C71="","",Installer_Database!Z71)</f>
        <v>0</v>
      </c>
      <c r="T71">
        <f t="shared" si="11"/>
        <v>7</v>
      </c>
    </row>
    <row r="72" spans="1:20">
      <c r="A72" t="str">
        <f>[1]Installer_Database!A72</f>
        <v>INST-068</v>
      </c>
      <c r="B72">
        <f>Installer_Database!Y72</f>
        <v>0</v>
      </c>
      <c r="C72">
        <f>Installer_Database!B72</f>
        <v>0</v>
      </c>
      <c r="D72">
        <f>IF(C72="","",IF(ISNUMBER(SEARCH(Customer_Profile!$B$11,Installer_Database!G72)),15,IF(ISNUMBER(SEARCH(Customer_Profile!$B$10,Installer_Database!F72)),12,IF(ISNUMBER(SEARCH("National",Installer_Database!F72)),7,0))))</f>
        <v>0</v>
      </c>
      <c r="E72">
        <f>IF(C72="","",IF(ISNUMBER(SEARCH(Customer_Profile!$B$8,Installer_Database!H72)),15,IF(OR(AND(Customer_Profile!$B$8="Hospital",ISNUMBER(SEARCH("Commercial",Installer_Database!H72))),AND(Customer_Profile!$B$8="Hotel",ISNUMBER(SEARCH("Commercial",Installer_Database!H72))),AND(Customer_Profile!$B$8="School",ISNUMBER(SEARCH("Commercial",Installer_Database!H72)))),8,0)))</f>
        <v>0</v>
      </c>
      <c r="F72">
        <f>IF(C72="","",IFERROR(IF(VALUE(LEFT(Customer_Profile!$B$19,FIND("-",Customer_Profile!$B$19&amp;"-")-1))&lt;=Installer_Database!J72,15,IF(VALUE(LEFT(Customer_Profile!$B$19,FIND("-",Customer_Profile!$B$19&amp;"-")-1))&lt;=Installer_Database!J72*1.25,10,5)),8))</f>
        <v>5</v>
      </c>
      <c r="G72">
        <f>IF(C72="","",IF(Installer_Database!V72="Excellent",15,IF(Installer_Database!V72="Good",12,IF(Installer_Database!V72="Acceptable",8,IF(Installer_Database!V72="Weak",4,IF(Installer_Database!V72="Unverified",5,5))))))</f>
        <v>5</v>
      </c>
      <c r="H72">
        <f>IF(C72="","",IF(Installer_Database!K72="Strong",10,IF(Installer_Database!K72="Moderate",7,IF(Installer_Database!K72="Basic",4,IF(Installer_Database!K72="No",0,5)))))</f>
        <v>5</v>
      </c>
      <c r="I72">
        <f>IF(C72="","",IF(Installer_Database!W72="Excellent",10,IF(Installer_Database!W72="Good",8,IF(Installer_Database!W72="Acceptable",5,IF(Installer_Database!W72="Weak",2,IF(Installer_Database!W72="Unverified",4,4))))))</f>
        <v>4</v>
      </c>
      <c r="J72">
        <f>IF(C72="","",IF(Installer_Database!S72="Excellent",10,IF(Installer_Database!S72="Good",8,IF(Installer_Database!S72="Acceptable",5,IF(Installer_Database!S72="Weak",2,IF(Installer_Database!S72="Unverified",4,IF(Installer_Database!S72="Strong",10,IF(Installer_Database!S72="Basic",5,4))))))))</f>
        <v>4</v>
      </c>
      <c r="K72">
        <f>IF(C72="","",IF(Installer_Database!T72="Same day",5,IF(Installer_Database!T72="24-48 hours",4,IF(Installer_Database!T72="2-3 days",3,IF(Installer_Database!T72="Slow",1,2)))))</f>
        <v>2</v>
      </c>
      <c r="L72">
        <f>IF(C72="","",IF(Installer_Database!U72=Customer_Profile!$B$12,5,IF(OR(Installer_Database!U72="Mid-range",Customer_Profile!$B$12="Unknown"),3,1)))</f>
        <v>1</v>
      </c>
      <c r="M72" s="47">
        <f t="shared" si="6"/>
        <v>26</v>
      </c>
      <c r="N72" s="47">
        <f>100</f>
        <v>100</v>
      </c>
      <c r="O72" s="35">
        <f t="shared" si="7"/>
        <v>0.26</v>
      </c>
      <c r="P72" t="str">
        <f t="shared" si="8"/>
        <v>Do Not Recommend</v>
      </c>
      <c r="Q72" t="str">
        <f t="shared" si="9"/>
        <v>No</v>
      </c>
      <c r="R72" t="str">
        <f t="shared" si="10"/>
        <v/>
      </c>
      <c r="S72">
        <f>IF(C72="","",Installer_Database!Z72)</f>
        <v>0</v>
      </c>
      <c r="T72">
        <f t="shared" si="11"/>
        <v>7</v>
      </c>
    </row>
    <row r="73" spans="1:20">
      <c r="A73" t="str">
        <f>[1]Installer_Database!A73</f>
        <v>INST-069</v>
      </c>
      <c r="B73">
        <f>Installer_Database!Y73</f>
        <v>0</v>
      </c>
      <c r="C73">
        <f>Installer_Database!B73</f>
        <v>0</v>
      </c>
      <c r="D73">
        <f>IF(C73="","",IF(ISNUMBER(SEARCH(Customer_Profile!$B$11,Installer_Database!G73)),15,IF(ISNUMBER(SEARCH(Customer_Profile!$B$10,Installer_Database!F73)),12,IF(ISNUMBER(SEARCH("National",Installer_Database!F73)),7,0))))</f>
        <v>0</v>
      </c>
      <c r="E73">
        <f>IF(C73="","",IF(ISNUMBER(SEARCH(Customer_Profile!$B$8,Installer_Database!H73)),15,IF(OR(AND(Customer_Profile!$B$8="Hospital",ISNUMBER(SEARCH("Commercial",Installer_Database!H73))),AND(Customer_Profile!$B$8="Hotel",ISNUMBER(SEARCH("Commercial",Installer_Database!H73))),AND(Customer_Profile!$B$8="School",ISNUMBER(SEARCH("Commercial",Installer_Database!H73)))),8,0)))</f>
        <v>0</v>
      </c>
      <c r="F73">
        <f>IF(C73="","",IFERROR(IF(VALUE(LEFT(Customer_Profile!$B$19,FIND("-",Customer_Profile!$B$19&amp;"-")-1))&lt;=Installer_Database!J73,15,IF(VALUE(LEFT(Customer_Profile!$B$19,FIND("-",Customer_Profile!$B$19&amp;"-")-1))&lt;=Installer_Database!J73*1.25,10,5)),8))</f>
        <v>5</v>
      </c>
      <c r="G73">
        <f>IF(C73="","",IF(Installer_Database!V73="Excellent",15,IF(Installer_Database!V73="Good",12,IF(Installer_Database!V73="Acceptable",8,IF(Installer_Database!V73="Weak",4,IF(Installer_Database!V73="Unverified",5,5))))))</f>
        <v>5</v>
      </c>
      <c r="H73">
        <f>IF(C73="","",IF(Installer_Database!K73="Strong",10,IF(Installer_Database!K73="Moderate",7,IF(Installer_Database!K73="Basic",4,IF(Installer_Database!K73="No",0,5)))))</f>
        <v>5</v>
      </c>
      <c r="I73">
        <f>IF(C73="","",IF(Installer_Database!W73="Excellent",10,IF(Installer_Database!W73="Good",8,IF(Installer_Database!W73="Acceptable",5,IF(Installer_Database!W73="Weak",2,IF(Installer_Database!W73="Unverified",4,4))))))</f>
        <v>4</v>
      </c>
      <c r="J73">
        <f>IF(C73="","",IF(Installer_Database!S73="Excellent",10,IF(Installer_Database!S73="Good",8,IF(Installer_Database!S73="Acceptable",5,IF(Installer_Database!S73="Weak",2,IF(Installer_Database!S73="Unverified",4,IF(Installer_Database!S73="Strong",10,IF(Installer_Database!S73="Basic",5,4))))))))</f>
        <v>4</v>
      </c>
      <c r="K73">
        <f>IF(C73="","",IF(Installer_Database!T73="Same day",5,IF(Installer_Database!T73="24-48 hours",4,IF(Installer_Database!T73="2-3 days",3,IF(Installer_Database!T73="Slow",1,2)))))</f>
        <v>2</v>
      </c>
      <c r="L73">
        <f>IF(C73="","",IF(Installer_Database!U73=Customer_Profile!$B$12,5,IF(OR(Installer_Database!U73="Mid-range",Customer_Profile!$B$12="Unknown"),3,1)))</f>
        <v>1</v>
      </c>
      <c r="M73" s="47">
        <f t="shared" si="6"/>
        <v>26</v>
      </c>
      <c r="N73" s="47">
        <f>100</f>
        <v>100</v>
      </c>
      <c r="O73" s="35">
        <f t="shared" si="7"/>
        <v>0.26</v>
      </c>
      <c r="P73" t="str">
        <f t="shared" si="8"/>
        <v>Do Not Recommend</v>
      </c>
      <c r="Q73" t="str">
        <f t="shared" si="9"/>
        <v>No</v>
      </c>
      <c r="R73" t="str">
        <f t="shared" si="10"/>
        <v/>
      </c>
      <c r="S73">
        <f>IF(C73="","",Installer_Database!Z73)</f>
        <v>0</v>
      </c>
      <c r="T73">
        <f t="shared" si="11"/>
        <v>7</v>
      </c>
    </row>
    <row r="74" spans="1:20">
      <c r="A74" t="str">
        <f>[1]Installer_Database!A74</f>
        <v>INST-070</v>
      </c>
      <c r="B74">
        <f>Installer_Database!Y74</f>
        <v>0</v>
      </c>
      <c r="C74">
        <f>Installer_Database!B74</f>
        <v>0</v>
      </c>
      <c r="D74">
        <f>IF(C74="","",IF(ISNUMBER(SEARCH(Customer_Profile!$B$11,Installer_Database!G74)),15,IF(ISNUMBER(SEARCH(Customer_Profile!$B$10,Installer_Database!F74)),12,IF(ISNUMBER(SEARCH("National",Installer_Database!F74)),7,0))))</f>
        <v>0</v>
      </c>
      <c r="E74">
        <f>IF(C74="","",IF(ISNUMBER(SEARCH(Customer_Profile!$B$8,Installer_Database!H74)),15,IF(OR(AND(Customer_Profile!$B$8="Hospital",ISNUMBER(SEARCH("Commercial",Installer_Database!H74))),AND(Customer_Profile!$B$8="Hotel",ISNUMBER(SEARCH("Commercial",Installer_Database!H74))),AND(Customer_Profile!$B$8="School",ISNUMBER(SEARCH("Commercial",Installer_Database!H74)))),8,0)))</f>
        <v>0</v>
      </c>
      <c r="F74">
        <f>IF(C74="","",IFERROR(IF(VALUE(LEFT(Customer_Profile!$B$19,FIND("-",Customer_Profile!$B$19&amp;"-")-1))&lt;=Installer_Database!J74,15,IF(VALUE(LEFT(Customer_Profile!$B$19,FIND("-",Customer_Profile!$B$19&amp;"-")-1))&lt;=Installer_Database!J74*1.25,10,5)),8))</f>
        <v>5</v>
      </c>
      <c r="G74">
        <f>IF(C74="","",IF(Installer_Database!V74="Excellent",15,IF(Installer_Database!V74="Good",12,IF(Installer_Database!V74="Acceptable",8,IF(Installer_Database!V74="Weak",4,IF(Installer_Database!V74="Unverified",5,5))))))</f>
        <v>5</v>
      </c>
      <c r="H74">
        <f>IF(C74="","",IF(Installer_Database!K74="Strong",10,IF(Installer_Database!K74="Moderate",7,IF(Installer_Database!K74="Basic",4,IF(Installer_Database!K74="No",0,5)))))</f>
        <v>5</v>
      </c>
      <c r="I74">
        <f>IF(C74="","",IF(Installer_Database!W74="Excellent",10,IF(Installer_Database!W74="Good",8,IF(Installer_Database!W74="Acceptable",5,IF(Installer_Database!W74="Weak",2,IF(Installer_Database!W74="Unverified",4,4))))))</f>
        <v>4</v>
      </c>
      <c r="J74">
        <f>IF(C74="","",IF(Installer_Database!S74="Excellent",10,IF(Installer_Database!S74="Good",8,IF(Installer_Database!S74="Acceptable",5,IF(Installer_Database!S74="Weak",2,IF(Installer_Database!S74="Unverified",4,IF(Installer_Database!S74="Strong",10,IF(Installer_Database!S74="Basic",5,4))))))))</f>
        <v>4</v>
      </c>
      <c r="K74">
        <f>IF(C74="","",IF(Installer_Database!T74="Same day",5,IF(Installer_Database!T74="24-48 hours",4,IF(Installer_Database!T74="2-3 days",3,IF(Installer_Database!T74="Slow",1,2)))))</f>
        <v>2</v>
      </c>
      <c r="L74">
        <f>IF(C74="","",IF(Installer_Database!U74=Customer_Profile!$B$12,5,IF(OR(Installer_Database!U74="Mid-range",Customer_Profile!$B$12="Unknown"),3,1)))</f>
        <v>1</v>
      </c>
      <c r="M74" s="47">
        <f t="shared" si="6"/>
        <v>26</v>
      </c>
      <c r="N74" s="47">
        <f>100</f>
        <v>100</v>
      </c>
      <c r="O74" s="35">
        <f t="shared" si="7"/>
        <v>0.26</v>
      </c>
      <c r="P74" t="str">
        <f t="shared" si="8"/>
        <v>Do Not Recommend</v>
      </c>
      <c r="Q74" t="str">
        <f t="shared" si="9"/>
        <v>No</v>
      </c>
      <c r="R74" t="str">
        <f t="shared" si="10"/>
        <v/>
      </c>
      <c r="S74">
        <f>IF(C74="","",Installer_Database!Z74)</f>
        <v>0</v>
      </c>
      <c r="T74">
        <f t="shared" si="11"/>
        <v>7</v>
      </c>
    </row>
    <row r="75" spans="1:20">
      <c r="A75" t="str">
        <f>[1]Installer_Database!A75</f>
        <v>INST-071</v>
      </c>
      <c r="B75">
        <f>Installer_Database!Y75</f>
        <v>0</v>
      </c>
      <c r="C75">
        <f>Installer_Database!B75</f>
        <v>0</v>
      </c>
      <c r="D75">
        <f>IF(C75="","",IF(ISNUMBER(SEARCH(Customer_Profile!$B$11,Installer_Database!G75)),15,IF(ISNUMBER(SEARCH(Customer_Profile!$B$10,Installer_Database!F75)),12,IF(ISNUMBER(SEARCH("National",Installer_Database!F75)),7,0))))</f>
        <v>0</v>
      </c>
      <c r="E75">
        <f>IF(C75="","",IF(ISNUMBER(SEARCH(Customer_Profile!$B$8,Installer_Database!H75)),15,IF(OR(AND(Customer_Profile!$B$8="Hospital",ISNUMBER(SEARCH("Commercial",Installer_Database!H75))),AND(Customer_Profile!$B$8="Hotel",ISNUMBER(SEARCH("Commercial",Installer_Database!H75))),AND(Customer_Profile!$B$8="School",ISNUMBER(SEARCH("Commercial",Installer_Database!H75)))),8,0)))</f>
        <v>0</v>
      </c>
      <c r="F75">
        <f>IF(C75="","",IFERROR(IF(VALUE(LEFT(Customer_Profile!$B$19,FIND("-",Customer_Profile!$B$19&amp;"-")-1))&lt;=Installer_Database!J75,15,IF(VALUE(LEFT(Customer_Profile!$B$19,FIND("-",Customer_Profile!$B$19&amp;"-")-1))&lt;=Installer_Database!J75*1.25,10,5)),8))</f>
        <v>5</v>
      </c>
      <c r="G75">
        <f>IF(C75="","",IF(Installer_Database!V75="Excellent",15,IF(Installer_Database!V75="Good",12,IF(Installer_Database!V75="Acceptable",8,IF(Installer_Database!V75="Weak",4,IF(Installer_Database!V75="Unverified",5,5))))))</f>
        <v>5</v>
      </c>
      <c r="H75">
        <f>IF(C75="","",IF(Installer_Database!K75="Strong",10,IF(Installer_Database!K75="Moderate",7,IF(Installer_Database!K75="Basic",4,IF(Installer_Database!K75="No",0,5)))))</f>
        <v>5</v>
      </c>
      <c r="I75">
        <f>IF(C75="","",IF(Installer_Database!W75="Excellent",10,IF(Installer_Database!W75="Good",8,IF(Installer_Database!W75="Acceptable",5,IF(Installer_Database!W75="Weak",2,IF(Installer_Database!W75="Unverified",4,4))))))</f>
        <v>4</v>
      </c>
      <c r="J75">
        <f>IF(C75="","",IF(Installer_Database!S75="Excellent",10,IF(Installer_Database!S75="Good",8,IF(Installer_Database!S75="Acceptable",5,IF(Installer_Database!S75="Weak",2,IF(Installer_Database!S75="Unverified",4,IF(Installer_Database!S75="Strong",10,IF(Installer_Database!S75="Basic",5,4))))))))</f>
        <v>4</v>
      </c>
      <c r="K75">
        <f>IF(C75="","",IF(Installer_Database!T75="Same day",5,IF(Installer_Database!T75="24-48 hours",4,IF(Installer_Database!T75="2-3 days",3,IF(Installer_Database!T75="Slow",1,2)))))</f>
        <v>2</v>
      </c>
      <c r="L75">
        <f>IF(C75="","",IF(Installer_Database!U75=Customer_Profile!$B$12,5,IF(OR(Installer_Database!U75="Mid-range",Customer_Profile!$B$12="Unknown"),3,1)))</f>
        <v>1</v>
      </c>
      <c r="M75" s="47">
        <f t="shared" si="6"/>
        <v>26</v>
      </c>
      <c r="N75" s="47">
        <f>100</f>
        <v>100</v>
      </c>
      <c r="O75" s="35">
        <f t="shared" si="7"/>
        <v>0.26</v>
      </c>
      <c r="P75" t="str">
        <f t="shared" si="8"/>
        <v>Do Not Recommend</v>
      </c>
      <c r="Q75" t="str">
        <f t="shared" si="9"/>
        <v>No</v>
      </c>
      <c r="R75" t="str">
        <f t="shared" si="10"/>
        <v/>
      </c>
      <c r="S75">
        <f>IF(C75="","",Installer_Database!Z75)</f>
        <v>0</v>
      </c>
      <c r="T75">
        <f t="shared" si="11"/>
        <v>7</v>
      </c>
    </row>
    <row r="76" spans="1:20">
      <c r="A76" t="str">
        <f>[1]Installer_Database!A76</f>
        <v>INST-072</v>
      </c>
      <c r="B76">
        <f>Installer_Database!Y76</f>
        <v>0</v>
      </c>
      <c r="C76">
        <f>Installer_Database!B76</f>
        <v>0</v>
      </c>
      <c r="D76">
        <f>IF(C76="","",IF(ISNUMBER(SEARCH(Customer_Profile!$B$11,Installer_Database!G76)),15,IF(ISNUMBER(SEARCH(Customer_Profile!$B$10,Installer_Database!F76)),12,IF(ISNUMBER(SEARCH("National",Installer_Database!F76)),7,0))))</f>
        <v>0</v>
      </c>
      <c r="E76">
        <f>IF(C76="","",IF(ISNUMBER(SEARCH(Customer_Profile!$B$8,Installer_Database!H76)),15,IF(OR(AND(Customer_Profile!$B$8="Hospital",ISNUMBER(SEARCH("Commercial",Installer_Database!H76))),AND(Customer_Profile!$B$8="Hotel",ISNUMBER(SEARCH("Commercial",Installer_Database!H76))),AND(Customer_Profile!$B$8="School",ISNUMBER(SEARCH("Commercial",Installer_Database!H76)))),8,0)))</f>
        <v>0</v>
      </c>
      <c r="F76">
        <f>IF(C76="","",IFERROR(IF(VALUE(LEFT(Customer_Profile!$B$19,FIND("-",Customer_Profile!$B$19&amp;"-")-1))&lt;=Installer_Database!J76,15,IF(VALUE(LEFT(Customer_Profile!$B$19,FIND("-",Customer_Profile!$B$19&amp;"-")-1))&lt;=Installer_Database!J76*1.25,10,5)),8))</f>
        <v>5</v>
      </c>
      <c r="G76">
        <f>IF(C76="","",IF(Installer_Database!V76="Excellent",15,IF(Installer_Database!V76="Good",12,IF(Installer_Database!V76="Acceptable",8,IF(Installer_Database!V76="Weak",4,IF(Installer_Database!V76="Unverified",5,5))))))</f>
        <v>5</v>
      </c>
      <c r="H76">
        <f>IF(C76="","",IF(Installer_Database!K76="Strong",10,IF(Installer_Database!K76="Moderate",7,IF(Installer_Database!K76="Basic",4,IF(Installer_Database!K76="No",0,5)))))</f>
        <v>5</v>
      </c>
      <c r="I76">
        <f>IF(C76="","",IF(Installer_Database!W76="Excellent",10,IF(Installer_Database!W76="Good",8,IF(Installer_Database!W76="Acceptable",5,IF(Installer_Database!W76="Weak",2,IF(Installer_Database!W76="Unverified",4,4))))))</f>
        <v>4</v>
      </c>
      <c r="J76">
        <f>IF(C76="","",IF(Installer_Database!S76="Excellent",10,IF(Installer_Database!S76="Good",8,IF(Installer_Database!S76="Acceptable",5,IF(Installer_Database!S76="Weak",2,IF(Installer_Database!S76="Unverified",4,IF(Installer_Database!S76="Strong",10,IF(Installer_Database!S76="Basic",5,4))))))))</f>
        <v>4</v>
      </c>
      <c r="K76">
        <f>IF(C76="","",IF(Installer_Database!T76="Same day",5,IF(Installer_Database!T76="24-48 hours",4,IF(Installer_Database!T76="2-3 days",3,IF(Installer_Database!T76="Slow",1,2)))))</f>
        <v>2</v>
      </c>
      <c r="L76">
        <f>IF(C76="","",IF(Installer_Database!U76=Customer_Profile!$B$12,5,IF(OR(Installer_Database!U76="Mid-range",Customer_Profile!$B$12="Unknown"),3,1)))</f>
        <v>1</v>
      </c>
      <c r="M76" s="47">
        <f t="shared" si="6"/>
        <v>26</v>
      </c>
      <c r="N76" s="47">
        <f>100</f>
        <v>100</v>
      </c>
      <c r="O76" s="35">
        <f t="shared" si="7"/>
        <v>0.26</v>
      </c>
      <c r="P76" t="str">
        <f t="shared" si="8"/>
        <v>Do Not Recommend</v>
      </c>
      <c r="Q76" t="str">
        <f t="shared" si="9"/>
        <v>No</v>
      </c>
      <c r="R76" t="str">
        <f t="shared" si="10"/>
        <v/>
      </c>
      <c r="S76">
        <f>IF(C76="","",Installer_Database!Z76)</f>
        <v>0</v>
      </c>
      <c r="T76">
        <f t="shared" si="11"/>
        <v>7</v>
      </c>
    </row>
    <row r="77" spans="1:20">
      <c r="A77" t="str">
        <f>[1]Installer_Database!A77</f>
        <v>INST-073</v>
      </c>
      <c r="B77">
        <f>Installer_Database!Y77</f>
        <v>0</v>
      </c>
      <c r="C77">
        <f>Installer_Database!B77</f>
        <v>0</v>
      </c>
      <c r="D77">
        <f>IF(C77="","",IF(ISNUMBER(SEARCH(Customer_Profile!$B$11,Installer_Database!G77)),15,IF(ISNUMBER(SEARCH(Customer_Profile!$B$10,Installer_Database!F77)),12,IF(ISNUMBER(SEARCH("National",Installer_Database!F77)),7,0))))</f>
        <v>0</v>
      </c>
      <c r="E77">
        <f>IF(C77="","",IF(ISNUMBER(SEARCH(Customer_Profile!$B$8,Installer_Database!H77)),15,IF(OR(AND(Customer_Profile!$B$8="Hospital",ISNUMBER(SEARCH("Commercial",Installer_Database!H77))),AND(Customer_Profile!$B$8="Hotel",ISNUMBER(SEARCH("Commercial",Installer_Database!H77))),AND(Customer_Profile!$B$8="School",ISNUMBER(SEARCH("Commercial",Installer_Database!H77)))),8,0)))</f>
        <v>0</v>
      </c>
      <c r="F77">
        <f>IF(C77="","",IFERROR(IF(VALUE(LEFT(Customer_Profile!$B$19,FIND("-",Customer_Profile!$B$19&amp;"-")-1))&lt;=Installer_Database!J77,15,IF(VALUE(LEFT(Customer_Profile!$B$19,FIND("-",Customer_Profile!$B$19&amp;"-")-1))&lt;=Installer_Database!J77*1.25,10,5)),8))</f>
        <v>5</v>
      </c>
      <c r="G77">
        <f>IF(C77="","",IF(Installer_Database!V77="Excellent",15,IF(Installer_Database!V77="Good",12,IF(Installer_Database!V77="Acceptable",8,IF(Installer_Database!V77="Weak",4,IF(Installer_Database!V77="Unverified",5,5))))))</f>
        <v>5</v>
      </c>
      <c r="H77">
        <f>IF(C77="","",IF(Installer_Database!K77="Strong",10,IF(Installer_Database!K77="Moderate",7,IF(Installer_Database!K77="Basic",4,IF(Installer_Database!K77="No",0,5)))))</f>
        <v>5</v>
      </c>
      <c r="I77">
        <f>IF(C77="","",IF(Installer_Database!W77="Excellent",10,IF(Installer_Database!W77="Good",8,IF(Installer_Database!W77="Acceptable",5,IF(Installer_Database!W77="Weak",2,IF(Installer_Database!W77="Unverified",4,4))))))</f>
        <v>4</v>
      </c>
      <c r="J77">
        <f>IF(C77="","",IF(Installer_Database!S77="Excellent",10,IF(Installer_Database!S77="Good",8,IF(Installer_Database!S77="Acceptable",5,IF(Installer_Database!S77="Weak",2,IF(Installer_Database!S77="Unverified",4,IF(Installer_Database!S77="Strong",10,IF(Installer_Database!S77="Basic",5,4))))))))</f>
        <v>4</v>
      </c>
      <c r="K77">
        <f>IF(C77="","",IF(Installer_Database!T77="Same day",5,IF(Installer_Database!T77="24-48 hours",4,IF(Installer_Database!T77="2-3 days",3,IF(Installer_Database!T77="Slow",1,2)))))</f>
        <v>2</v>
      </c>
      <c r="L77">
        <f>IF(C77="","",IF(Installer_Database!U77=Customer_Profile!$B$12,5,IF(OR(Installer_Database!U77="Mid-range",Customer_Profile!$B$12="Unknown"),3,1)))</f>
        <v>1</v>
      </c>
      <c r="M77" s="47">
        <f t="shared" si="6"/>
        <v>26</v>
      </c>
      <c r="N77" s="47">
        <f>100</f>
        <v>100</v>
      </c>
      <c r="O77" s="35">
        <f t="shared" si="7"/>
        <v>0.26</v>
      </c>
      <c r="P77" t="str">
        <f t="shared" si="8"/>
        <v>Do Not Recommend</v>
      </c>
      <c r="Q77" t="str">
        <f t="shared" si="9"/>
        <v>No</v>
      </c>
      <c r="R77" t="str">
        <f t="shared" si="10"/>
        <v/>
      </c>
      <c r="S77">
        <f>IF(C77="","",Installer_Database!Z77)</f>
        <v>0</v>
      </c>
      <c r="T77">
        <f t="shared" si="11"/>
        <v>7</v>
      </c>
    </row>
    <row r="78" spans="1:20">
      <c r="A78" t="str">
        <f>[1]Installer_Database!A78</f>
        <v>INST-074</v>
      </c>
      <c r="B78">
        <f>Installer_Database!Y78</f>
        <v>0</v>
      </c>
      <c r="C78">
        <f>Installer_Database!B78</f>
        <v>0</v>
      </c>
      <c r="D78">
        <f>IF(C78="","",IF(ISNUMBER(SEARCH(Customer_Profile!$B$11,Installer_Database!G78)),15,IF(ISNUMBER(SEARCH(Customer_Profile!$B$10,Installer_Database!F78)),12,IF(ISNUMBER(SEARCH("National",Installer_Database!F78)),7,0))))</f>
        <v>0</v>
      </c>
      <c r="E78">
        <f>IF(C78="","",IF(ISNUMBER(SEARCH(Customer_Profile!$B$8,Installer_Database!H78)),15,IF(OR(AND(Customer_Profile!$B$8="Hospital",ISNUMBER(SEARCH("Commercial",Installer_Database!H78))),AND(Customer_Profile!$B$8="Hotel",ISNUMBER(SEARCH("Commercial",Installer_Database!H78))),AND(Customer_Profile!$B$8="School",ISNUMBER(SEARCH("Commercial",Installer_Database!H78)))),8,0)))</f>
        <v>0</v>
      </c>
      <c r="F78">
        <f>IF(C78="","",IFERROR(IF(VALUE(LEFT(Customer_Profile!$B$19,FIND("-",Customer_Profile!$B$19&amp;"-")-1))&lt;=Installer_Database!J78,15,IF(VALUE(LEFT(Customer_Profile!$B$19,FIND("-",Customer_Profile!$B$19&amp;"-")-1))&lt;=Installer_Database!J78*1.25,10,5)),8))</f>
        <v>5</v>
      </c>
      <c r="G78">
        <f>IF(C78="","",IF(Installer_Database!V78="Excellent",15,IF(Installer_Database!V78="Good",12,IF(Installer_Database!V78="Acceptable",8,IF(Installer_Database!V78="Weak",4,IF(Installer_Database!V78="Unverified",5,5))))))</f>
        <v>5</v>
      </c>
      <c r="H78">
        <f>IF(C78="","",IF(Installer_Database!K78="Strong",10,IF(Installer_Database!K78="Moderate",7,IF(Installer_Database!K78="Basic",4,IF(Installer_Database!K78="No",0,5)))))</f>
        <v>5</v>
      </c>
      <c r="I78">
        <f>IF(C78="","",IF(Installer_Database!W78="Excellent",10,IF(Installer_Database!W78="Good",8,IF(Installer_Database!W78="Acceptable",5,IF(Installer_Database!W78="Weak",2,IF(Installer_Database!W78="Unverified",4,4))))))</f>
        <v>4</v>
      </c>
      <c r="J78">
        <f>IF(C78="","",IF(Installer_Database!S78="Excellent",10,IF(Installer_Database!S78="Good",8,IF(Installer_Database!S78="Acceptable",5,IF(Installer_Database!S78="Weak",2,IF(Installer_Database!S78="Unverified",4,IF(Installer_Database!S78="Strong",10,IF(Installer_Database!S78="Basic",5,4))))))))</f>
        <v>4</v>
      </c>
      <c r="K78">
        <f>IF(C78="","",IF(Installer_Database!T78="Same day",5,IF(Installer_Database!T78="24-48 hours",4,IF(Installer_Database!T78="2-3 days",3,IF(Installer_Database!T78="Slow",1,2)))))</f>
        <v>2</v>
      </c>
      <c r="L78">
        <f>IF(C78="","",IF(Installer_Database!U78=Customer_Profile!$B$12,5,IF(OR(Installer_Database!U78="Mid-range",Customer_Profile!$B$12="Unknown"),3,1)))</f>
        <v>1</v>
      </c>
      <c r="M78" s="47">
        <f t="shared" si="6"/>
        <v>26</v>
      </c>
      <c r="N78" s="47">
        <f>100</f>
        <v>100</v>
      </c>
      <c r="O78" s="35">
        <f t="shared" si="7"/>
        <v>0.26</v>
      </c>
      <c r="P78" t="str">
        <f t="shared" si="8"/>
        <v>Do Not Recommend</v>
      </c>
      <c r="Q78" t="str">
        <f t="shared" si="9"/>
        <v>No</v>
      </c>
      <c r="R78" t="str">
        <f t="shared" si="10"/>
        <v/>
      </c>
      <c r="S78">
        <f>IF(C78="","",Installer_Database!Z78)</f>
        <v>0</v>
      </c>
      <c r="T78">
        <f t="shared" si="11"/>
        <v>7</v>
      </c>
    </row>
    <row r="79" spans="1:20">
      <c r="A79" t="str">
        <f>[1]Installer_Database!A79</f>
        <v>INST-075</v>
      </c>
      <c r="B79">
        <f>Installer_Database!Y79</f>
        <v>0</v>
      </c>
      <c r="C79">
        <f>Installer_Database!B79</f>
        <v>0</v>
      </c>
      <c r="D79">
        <f>IF(C79="","",IF(ISNUMBER(SEARCH(Customer_Profile!$B$11,Installer_Database!G79)),15,IF(ISNUMBER(SEARCH(Customer_Profile!$B$10,Installer_Database!F79)),12,IF(ISNUMBER(SEARCH("National",Installer_Database!F79)),7,0))))</f>
        <v>0</v>
      </c>
      <c r="E79">
        <f>IF(C79="","",IF(ISNUMBER(SEARCH(Customer_Profile!$B$8,Installer_Database!H79)),15,IF(OR(AND(Customer_Profile!$B$8="Hospital",ISNUMBER(SEARCH("Commercial",Installer_Database!H79))),AND(Customer_Profile!$B$8="Hotel",ISNUMBER(SEARCH("Commercial",Installer_Database!H79))),AND(Customer_Profile!$B$8="School",ISNUMBER(SEARCH("Commercial",Installer_Database!H79)))),8,0)))</f>
        <v>0</v>
      </c>
      <c r="F79">
        <f>IF(C79="","",IFERROR(IF(VALUE(LEFT(Customer_Profile!$B$19,FIND("-",Customer_Profile!$B$19&amp;"-")-1))&lt;=Installer_Database!J79,15,IF(VALUE(LEFT(Customer_Profile!$B$19,FIND("-",Customer_Profile!$B$19&amp;"-")-1))&lt;=Installer_Database!J79*1.25,10,5)),8))</f>
        <v>5</v>
      </c>
      <c r="G79">
        <f>IF(C79="","",IF(Installer_Database!V79="Excellent",15,IF(Installer_Database!V79="Good",12,IF(Installer_Database!V79="Acceptable",8,IF(Installer_Database!V79="Weak",4,IF(Installer_Database!V79="Unverified",5,5))))))</f>
        <v>5</v>
      </c>
      <c r="H79">
        <f>IF(C79="","",IF(Installer_Database!K79="Strong",10,IF(Installer_Database!K79="Moderate",7,IF(Installer_Database!K79="Basic",4,IF(Installer_Database!K79="No",0,5)))))</f>
        <v>5</v>
      </c>
      <c r="I79">
        <f>IF(C79="","",IF(Installer_Database!W79="Excellent",10,IF(Installer_Database!W79="Good",8,IF(Installer_Database!W79="Acceptable",5,IF(Installer_Database!W79="Weak",2,IF(Installer_Database!W79="Unverified",4,4))))))</f>
        <v>4</v>
      </c>
      <c r="J79">
        <f>IF(C79="","",IF(Installer_Database!S79="Excellent",10,IF(Installer_Database!S79="Good",8,IF(Installer_Database!S79="Acceptable",5,IF(Installer_Database!S79="Weak",2,IF(Installer_Database!S79="Unverified",4,IF(Installer_Database!S79="Strong",10,IF(Installer_Database!S79="Basic",5,4))))))))</f>
        <v>4</v>
      </c>
      <c r="K79">
        <f>IF(C79="","",IF(Installer_Database!T79="Same day",5,IF(Installer_Database!T79="24-48 hours",4,IF(Installer_Database!T79="2-3 days",3,IF(Installer_Database!T79="Slow",1,2)))))</f>
        <v>2</v>
      </c>
      <c r="L79">
        <f>IF(C79="","",IF(Installer_Database!U79=Customer_Profile!$B$12,5,IF(OR(Installer_Database!U79="Mid-range",Customer_Profile!$B$12="Unknown"),3,1)))</f>
        <v>1</v>
      </c>
      <c r="M79" s="47">
        <f t="shared" si="6"/>
        <v>26</v>
      </c>
      <c r="N79" s="47">
        <f>100</f>
        <v>100</v>
      </c>
      <c r="O79" s="35">
        <f t="shared" si="7"/>
        <v>0.26</v>
      </c>
      <c r="P79" t="str">
        <f t="shared" si="8"/>
        <v>Do Not Recommend</v>
      </c>
      <c r="Q79" t="str">
        <f t="shared" si="9"/>
        <v>No</v>
      </c>
      <c r="R79" t="str">
        <f t="shared" si="10"/>
        <v/>
      </c>
      <c r="S79">
        <f>IF(C79="","",Installer_Database!Z79)</f>
        <v>0</v>
      </c>
      <c r="T79">
        <f t="shared" si="11"/>
        <v>7</v>
      </c>
    </row>
    <row r="80" spans="1:20">
      <c r="A80" t="str">
        <f>[1]Installer_Database!A80</f>
        <v>INST-076</v>
      </c>
      <c r="B80">
        <f>Installer_Database!Y80</f>
        <v>0</v>
      </c>
      <c r="C80">
        <f>Installer_Database!B80</f>
        <v>0</v>
      </c>
      <c r="D80">
        <f>IF(C80="","",IF(ISNUMBER(SEARCH(Customer_Profile!$B$11,Installer_Database!G80)),15,IF(ISNUMBER(SEARCH(Customer_Profile!$B$10,Installer_Database!F80)),12,IF(ISNUMBER(SEARCH("National",Installer_Database!F80)),7,0))))</f>
        <v>0</v>
      </c>
      <c r="E80">
        <f>IF(C80="","",IF(ISNUMBER(SEARCH(Customer_Profile!$B$8,Installer_Database!H80)),15,IF(OR(AND(Customer_Profile!$B$8="Hospital",ISNUMBER(SEARCH("Commercial",Installer_Database!H80))),AND(Customer_Profile!$B$8="Hotel",ISNUMBER(SEARCH("Commercial",Installer_Database!H80))),AND(Customer_Profile!$B$8="School",ISNUMBER(SEARCH("Commercial",Installer_Database!H80)))),8,0)))</f>
        <v>0</v>
      </c>
      <c r="F80">
        <f>IF(C80="","",IFERROR(IF(VALUE(LEFT(Customer_Profile!$B$19,FIND("-",Customer_Profile!$B$19&amp;"-")-1))&lt;=Installer_Database!J80,15,IF(VALUE(LEFT(Customer_Profile!$B$19,FIND("-",Customer_Profile!$B$19&amp;"-")-1))&lt;=Installer_Database!J80*1.25,10,5)),8))</f>
        <v>5</v>
      </c>
      <c r="G80">
        <f>IF(C80="","",IF(Installer_Database!V80="Excellent",15,IF(Installer_Database!V80="Good",12,IF(Installer_Database!V80="Acceptable",8,IF(Installer_Database!V80="Weak",4,IF(Installer_Database!V80="Unverified",5,5))))))</f>
        <v>5</v>
      </c>
      <c r="H80">
        <f>IF(C80="","",IF(Installer_Database!K80="Strong",10,IF(Installer_Database!K80="Moderate",7,IF(Installer_Database!K80="Basic",4,IF(Installer_Database!K80="No",0,5)))))</f>
        <v>5</v>
      </c>
      <c r="I80">
        <f>IF(C80="","",IF(Installer_Database!W80="Excellent",10,IF(Installer_Database!W80="Good",8,IF(Installer_Database!W80="Acceptable",5,IF(Installer_Database!W80="Weak",2,IF(Installer_Database!W80="Unverified",4,4))))))</f>
        <v>4</v>
      </c>
      <c r="J80">
        <f>IF(C80="","",IF(Installer_Database!S80="Excellent",10,IF(Installer_Database!S80="Good",8,IF(Installer_Database!S80="Acceptable",5,IF(Installer_Database!S80="Weak",2,IF(Installer_Database!S80="Unverified",4,IF(Installer_Database!S80="Strong",10,IF(Installer_Database!S80="Basic",5,4))))))))</f>
        <v>4</v>
      </c>
      <c r="K80">
        <f>IF(C80="","",IF(Installer_Database!T80="Same day",5,IF(Installer_Database!T80="24-48 hours",4,IF(Installer_Database!T80="2-3 days",3,IF(Installer_Database!T80="Slow",1,2)))))</f>
        <v>2</v>
      </c>
      <c r="L80">
        <f>IF(C80="","",IF(Installer_Database!U80=Customer_Profile!$B$12,5,IF(OR(Installer_Database!U80="Mid-range",Customer_Profile!$B$12="Unknown"),3,1)))</f>
        <v>1</v>
      </c>
      <c r="M80" s="47">
        <f t="shared" si="6"/>
        <v>26</v>
      </c>
      <c r="N80" s="47">
        <f>100</f>
        <v>100</v>
      </c>
      <c r="O80" s="35">
        <f t="shared" si="7"/>
        <v>0.26</v>
      </c>
      <c r="P80" t="str">
        <f t="shared" si="8"/>
        <v>Do Not Recommend</v>
      </c>
      <c r="Q80" t="str">
        <f t="shared" si="9"/>
        <v>No</v>
      </c>
      <c r="R80" t="str">
        <f t="shared" si="10"/>
        <v/>
      </c>
      <c r="S80">
        <f>IF(C80="","",Installer_Database!Z80)</f>
        <v>0</v>
      </c>
      <c r="T80">
        <f t="shared" si="11"/>
        <v>7</v>
      </c>
    </row>
    <row r="81" spans="1:20">
      <c r="A81" t="str">
        <f>[1]Installer_Database!A81</f>
        <v>INST-077</v>
      </c>
      <c r="B81">
        <f>Installer_Database!Y81</f>
        <v>0</v>
      </c>
      <c r="C81">
        <f>Installer_Database!B81</f>
        <v>0</v>
      </c>
      <c r="D81">
        <f>IF(C81="","",IF(ISNUMBER(SEARCH(Customer_Profile!$B$11,Installer_Database!G81)),15,IF(ISNUMBER(SEARCH(Customer_Profile!$B$10,Installer_Database!F81)),12,IF(ISNUMBER(SEARCH("National",Installer_Database!F81)),7,0))))</f>
        <v>0</v>
      </c>
      <c r="E81">
        <f>IF(C81="","",IF(ISNUMBER(SEARCH(Customer_Profile!$B$8,Installer_Database!H81)),15,IF(OR(AND(Customer_Profile!$B$8="Hospital",ISNUMBER(SEARCH("Commercial",Installer_Database!H81))),AND(Customer_Profile!$B$8="Hotel",ISNUMBER(SEARCH("Commercial",Installer_Database!H81))),AND(Customer_Profile!$B$8="School",ISNUMBER(SEARCH("Commercial",Installer_Database!H81)))),8,0)))</f>
        <v>0</v>
      </c>
      <c r="F81">
        <f>IF(C81="","",IFERROR(IF(VALUE(LEFT(Customer_Profile!$B$19,FIND("-",Customer_Profile!$B$19&amp;"-")-1))&lt;=Installer_Database!J81,15,IF(VALUE(LEFT(Customer_Profile!$B$19,FIND("-",Customer_Profile!$B$19&amp;"-")-1))&lt;=Installer_Database!J81*1.25,10,5)),8))</f>
        <v>5</v>
      </c>
      <c r="G81">
        <f>IF(C81="","",IF(Installer_Database!V81="Excellent",15,IF(Installer_Database!V81="Good",12,IF(Installer_Database!V81="Acceptable",8,IF(Installer_Database!V81="Weak",4,IF(Installer_Database!V81="Unverified",5,5))))))</f>
        <v>5</v>
      </c>
      <c r="H81">
        <f>IF(C81="","",IF(Installer_Database!K81="Strong",10,IF(Installer_Database!K81="Moderate",7,IF(Installer_Database!K81="Basic",4,IF(Installer_Database!K81="No",0,5)))))</f>
        <v>5</v>
      </c>
      <c r="I81">
        <f>IF(C81="","",IF(Installer_Database!W81="Excellent",10,IF(Installer_Database!W81="Good",8,IF(Installer_Database!W81="Acceptable",5,IF(Installer_Database!W81="Weak",2,IF(Installer_Database!W81="Unverified",4,4))))))</f>
        <v>4</v>
      </c>
      <c r="J81">
        <f>IF(C81="","",IF(Installer_Database!S81="Excellent",10,IF(Installer_Database!S81="Good",8,IF(Installer_Database!S81="Acceptable",5,IF(Installer_Database!S81="Weak",2,IF(Installer_Database!S81="Unverified",4,IF(Installer_Database!S81="Strong",10,IF(Installer_Database!S81="Basic",5,4))))))))</f>
        <v>4</v>
      </c>
      <c r="K81">
        <f>IF(C81="","",IF(Installer_Database!T81="Same day",5,IF(Installer_Database!T81="24-48 hours",4,IF(Installer_Database!T81="2-3 days",3,IF(Installer_Database!T81="Slow",1,2)))))</f>
        <v>2</v>
      </c>
      <c r="L81">
        <f>IF(C81="","",IF(Installer_Database!U81=Customer_Profile!$B$12,5,IF(OR(Installer_Database!U81="Mid-range",Customer_Profile!$B$12="Unknown"),3,1)))</f>
        <v>1</v>
      </c>
      <c r="M81" s="47">
        <f t="shared" si="6"/>
        <v>26</v>
      </c>
      <c r="N81" s="47">
        <f>100</f>
        <v>100</v>
      </c>
      <c r="O81" s="35">
        <f t="shared" si="7"/>
        <v>0.26</v>
      </c>
      <c r="P81" t="str">
        <f t="shared" si="8"/>
        <v>Do Not Recommend</v>
      </c>
      <c r="Q81" t="str">
        <f t="shared" si="9"/>
        <v>No</v>
      </c>
      <c r="R81" t="str">
        <f t="shared" si="10"/>
        <v/>
      </c>
      <c r="S81">
        <f>IF(C81="","",Installer_Database!Z81)</f>
        <v>0</v>
      </c>
      <c r="T81">
        <f t="shared" si="11"/>
        <v>7</v>
      </c>
    </row>
    <row r="82" spans="1:20">
      <c r="A82" t="str">
        <f>[1]Installer_Database!A82</f>
        <v>INST-078</v>
      </c>
      <c r="B82">
        <f>Installer_Database!Y82</f>
        <v>0</v>
      </c>
      <c r="C82">
        <f>Installer_Database!B82</f>
        <v>0</v>
      </c>
      <c r="D82">
        <f>IF(C82="","",IF(ISNUMBER(SEARCH(Customer_Profile!$B$11,Installer_Database!G82)),15,IF(ISNUMBER(SEARCH(Customer_Profile!$B$10,Installer_Database!F82)),12,IF(ISNUMBER(SEARCH("National",Installer_Database!F82)),7,0))))</f>
        <v>0</v>
      </c>
      <c r="E82">
        <f>IF(C82="","",IF(ISNUMBER(SEARCH(Customer_Profile!$B$8,Installer_Database!H82)),15,IF(OR(AND(Customer_Profile!$B$8="Hospital",ISNUMBER(SEARCH("Commercial",Installer_Database!H82))),AND(Customer_Profile!$B$8="Hotel",ISNUMBER(SEARCH("Commercial",Installer_Database!H82))),AND(Customer_Profile!$B$8="School",ISNUMBER(SEARCH("Commercial",Installer_Database!H82)))),8,0)))</f>
        <v>0</v>
      </c>
      <c r="F82">
        <f>IF(C82="","",IFERROR(IF(VALUE(LEFT(Customer_Profile!$B$19,FIND("-",Customer_Profile!$B$19&amp;"-")-1))&lt;=Installer_Database!J82,15,IF(VALUE(LEFT(Customer_Profile!$B$19,FIND("-",Customer_Profile!$B$19&amp;"-")-1))&lt;=Installer_Database!J82*1.25,10,5)),8))</f>
        <v>5</v>
      </c>
      <c r="G82">
        <f>IF(C82="","",IF(Installer_Database!V82="Excellent",15,IF(Installer_Database!V82="Good",12,IF(Installer_Database!V82="Acceptable",8,IF(Installer_Database!V82="Weak",4,IF(Installer_Database!V82="Unverified",5,5))))))</f>
        <v>5</v>
      </c>
      <c r="H82">
        <f>IF(C82="","",IF(Installer_Database!K82="Strong",10,IF(Installer_Database!K82="Moderate",7,IF(Installer_Database!K82="Basic",4,IF(Installer_Database!K82="No",0,5)))))</f>
        <v>5</v>
      </c>
      <c r="I82">
        <f>IF(C82="","",IF(Installer_Database!W82="Excellent",10,IF(Installer_Database!W82="Good",8,IF(Installer_Database!W82="Acceptable",5,IF(Installer_Database!W82="Weak",2,IF(Installer_Database!W82="Unverified",4,4))))))</f>
        <v>4</v>
      </c>
      <c r="J82">
        <f>IF(C82="","",IF(Installer_Database!S82="Excellent",10,IF(Installer_Database!S82="Good",8,IF(Installer_Database!S82="Acceptable",5,IF(Installer_Database!S82="Weak",2,IF(Installer_Database!S82="Unverified",4,IF(Installer_Database!S82="Strong",10,IF(Installer_Database!S82="Basic",5,4))))))))</f>
        <v>4</v>
      </c>
      <c r="K82">
        <f>IF(C82="","",IF(Installer_Database!T82="Same day",5,IF(Installer_Database!T82="24-48 hours",4,IF(Installer_Database!T82="2-3 days",3,IF(Installer_Database!T82="Slow",1,2)))))</f>
        <v>2</v>
      </c>
      <c r="L82">
        <f>IF(C82="","",IF(Installer_Database!U82=Customer_Profile!$B$12,5,IF(OR(Installer_Database!U82="Mid-range",Customer_Profile!$B$12="Unknown"),3,1)))</f>
        <v>1</v>
      </c>
      <c r="M82" s="47">
        <f t="shared" si="6"/>
        <v>26</v>
      </c>
      <c r="N82" s="47">
        <f>100</f>
        <v>100</v>
      </c>
      <c r="O82" s="35">
        <f t="shared" si="7"/>
        <v>0.26</v>
      </c>
      <c r="P82" t="str">
        <f t="shared" si="8"/>
        <v>Do Not Recommend</v>
      </c>
      <c r="Q82" t="str">
        <f t="shared" si="9"/>
        <v>No</v>
      </c>
      <c r="R82" t="str">
        <f t="shared" si="10"/>
        <v/>
      </c>
      <c r="S82">
        <f>IF(C82="","",Installer_Database!Z82)</f>
        <v>0</v>
      </c>
      <c r="T82">
        <f t="shared" si="11"/>
        <v>7</v>
      </c>
    </row>
    <row r="83" spans="1:20">
      <c r="A83" t="str">
        <f>[1]Installer_Database!A83</f>
        <v>INST-079</v>
      </c>
      <c r="B83">
        <f>Installer_Database!Y83</f>
        <v>0</v>
      </c>
      <c r="C83">
        <f>Installer_Database!B83</f>
        <v>0</v>
      </c>
      <c r="D83">
        <f>IF(C83="","",IF(ISNUMBER(SEARCH(Customer_Profile!$B$11,Installer_Database!G83)),15,IF(ISNUMBER(SEARCH(Customer_Profile!$B$10,Installer_Database!F83)),12,IF(ISNUMBER(SEARCH("National",Installer_Database!F83)),7,0))))</f>
        <v>0</v>
      </c>
      <c r="E83">
        <f>IF(C83="","",IF(ISNUMBER(SEARCH(Customer_Profile!$B$8,Installer_Database!H83)),15,IF(OR(AND(Customer_Profile!$B$8="Hospital",ISNUMBER(SEARCH("Commercial",Installer_Database!H83))),AND(Customer_Profile!$B$8="Hotel",ISNUMBER(SEARCH("Commercial",Installer_Database!H83))),AND(Customer_Profile!$B$8="School",ISNUMBER(SEARCH("Commercial",Installer_Database!H83)))),8,0)))</f>
        <v>0</v>
      </c>
      <c r="F83">
        <f>IF(C83="","",IFERROR(IF(VALUE(LEFT(Customer_Profile!$B$19,FIND("-",Customer_Profile!$B$19&amp;"-")-1))&lt;=Installer_Database!J83,15,IF(VALUE(LEFT(Customer_Profile!$B$19,FIND("-",Customer_Profile!$B$19&amp;"-")-1))&lt;=Installer_Database!J83*1.25,10,5)),8))</f>
        <v>5</v>
      </c>
      <c r="G83">
        <f>IF(C83="","",IF(Installer_Database!V83="Excellent",15,IF(Installer_Database!V83="Good",12,IF(Installer_Database!V83="Acceptable",8,IF(Installer_Database!V83="Weak",4,IF(Installer_Database!V83="Unverified",5,5))))))</f>
        <v>5</v>
      </c>
      <c r="H83">
        <f>IF(C83="","",IF(Installer_Database!K83="Strong",10,IF(Installer_Database!K83="Moderate",7,IF(Installer_Database!K83="Basic",4,IF(Installer_Database!K83="No",0,5)))))</f>
        <v>5</v>
      </c>
      <c r="I83">
        <f>IF(C83="","",IF(Installer_Database!W83="Excellent",10,IF(Installer_Database!W83="Good",8,IF(Installer_Database!W83="Acceptable",5,IF(Installer_Database!W83="Weak",2,IF(Installer_Database!W83="Unverified",4,4))))))</f>
        <v>4</v>
      </c>
      <c r="J83">
        <f>IF(C83="","",IF(Installer_Database!S83="Excellent",10,IF(Installer_Database!S83="Good",8,IF(Installer_Database!S83="Acceptable",5,IF(Installer_Database!S83="Weak",2,IF(Installer_Database!S83="Unverified",4,IF(Installer_Database!S83="Strong",10,IF(Installer_Database!S83="Basic",5,4))))))))</f>
        <v>4</v>
      </c>
      <c r="K83">
        <f>IF(C83="","",IF(Installer_Database!T83="Same day",5,IF(Installer_Database!T83="24-48 hours",4,IF(Installer_Database!T83="2-3 days",3,IF(Installer_Database!T83="Slow",1,2)))))</f>
        <v>2</v>
      </c>
      <c r="L83">
        <f>IF(C83="","",IF(Installer_Database!U83=Customer_Profile!$B$12,5,IF(OR(Installer_Database!U83="Mid-range",Customer_Profile!$B$12="Unknown"),3,1)))</f>
        <v>1</v>
      </c>
      <c r="M83" s="47">
        <f t="shared" si="6"/>
        <v>26</v>
      </c>
      <c r="N83" s="47">
        <f>100</f>
        <v>100</v>
      </c>
      <c r="O83" s="35">
        <f t="shared" si="7"/>
        <v>0.26</v>
      </c>
      <c r="P83" t="str">
        <f t="shared" si="8"/>
        <v>Do Not Recommend</v>
      </c>
      <c r="Q83" t="str">
        <f t="shared" si="9"/>
        <v>No</v>
      </c>
      <c r="R83" t="str">
        <f t="shared" si="10"/>
        <v/>
      </c>
      <c r="S83">
        <f>IF(C83="","",Installer_Database!Z83)</f>
        <v>0</v>
      </c>
      <c r="T83">
        <f t="shared" si="11"/>
        <v>7</v>
      </c>
    </row>
    <row r="84" spans="1:20">
      <c r="A84" t="str">
        <f>[1]Installer_Database!A84</f>
        <v>INST-080</v>
      </c>
      <c r="B84">
        <f>Installer_Database!Y84</f>
        <v>0</v>
      </c>
      <c r="C84">
        <f>Installer_Database!B84</f>
        <v>0</v>
      </c>
      <c r="D84">
        <f>IF(C84="","",IF(ISNUMBER(SEARCH(Customer_Profile!$B$11,Installer_Database!G84)),15,IF(ISNUMBER(SEARCH(Customer_Profile!$B$10,Installer_Database!F84)),12,IF(ISNUMBER(SEARCH("National",Installer_Database!F84)),7,0))))</f>
        <v>0</v>
      </c>
      <c r="E84">
        <f>IF(C84="","",IF(ISNUMBER(SEARCH(Customer_Profile!$B$8,Installer_Database!H84)),15,IF(OR(AND(Customer_Profile!$B$8="Hospital",ISNUMBER(SEARCH("Commercial",Installer_Database!H84))),AND(Customer_Profile!$B$8="Hotel",ISNUMBER(SEARCH("Commercial",Installer_Database!H84))),AND(Customer_Profile!$B$8="School",ISNUMBER(SEARCH("Commercial",Installer_Database!H84)))),8,0)))</f>
        <v>0</v>
      </c>
      <c r="F84">
        <f>IF(C84="","",IFERROR(IF(VALUE(LEFT(Customer_Profile!$B$19,FIND("-",Customer_Profile!$B$19&amp;"-")-1))&lt;=Installer_Database!J84,15,IF(VALUE(LEFT(Customer_Profile!$B$19,FIND("-",Customer_Profile!$B$19&amp;"-")-1))&lt;=Installer_Database!J84*1.25,10,5)),8))</f>
        <v>5</v>
      </c>
      <c r="G84">
        <f>IF(C84="","",IF(Installer_Database!V84="Excellent",15,IF(Installer_Database!V84="Good",12,IF(Installer_Database!V84="Acceptable",8,IF(Installer_Database!V84="Weak",4,IF(Installer_Database!V84="Unverified",5,5))))))</f>
        <v>5</v>
      </c>
      <c r="H84">
        <f>IF(C84="","",IF(Installer_Database!K84="Strong",10,IF(Installer_Database!K84="Moderate",7,IF(Installer_Database!K84="Basic",4,IF(Installer_Database!K84="No",0,5)))))</f>
        <v>5</v>
      </c>
      <c r="I84">
        <f>IF(C84="","",IF(Installer_Database!W84="Excellent",10,IF(Installer_Database!W84="Good",8,IF(Installer_Database!W84="Acceptable",5,IF(Installer_Database!W84="Weak",2,IF(Installer_Database!W84="Unverified",4,4))))))</f>
        <v>4</v>
      </c>
      <c r="J84">
        <f>IF(C84="","",IF(Installer_Database!S84="Excellent",10,IF(Installer_Database!S84="Good",8,IF(Installer_Database!S84="Acceptable",5,IF(Installer_Database!S84="Weak",2,IF(Installer_Database!S84="Unverified",4,IF(Installer_Database!S84="Strong",10,IF(Installer_Database!S84="Basic",5,4))))))))</f>
        <v>4</v>
      </c>
      <c r="K84">
        <f>IF(C84="","",IF(Installer_Database!T84="Same day",5,IF(Installer_Database!T84="24-48 hours",4,IF(Installer_Database!T84="2-3 days",3,IF(Installer_Database!T84="Slow",1,2)))))</f>
        <v>2</v>
      </c>
      <c r="L84">
        <f>IF(C84="","",IF(Installer_Database!U84=Customer_Profile!$B$12,5,IF(OR(Installer_Database!U84="Mid-range",Customer_Profile!$B$12="Unknown"),3,1)))</f>
        <v>1</v>
      </c>
      <c r="M84" s="47">
        <f t="shared" si="6"/>
        <v>26</v>
      </c>
      <c r="N84" s="47">
        <f>100</f>
        <v>100</v>
      </c>
      <c r="O84" s="35">
        <f t="shared" si="7"/>
        <v>0.26</v>
      </c>
      <c r="P84" t="str">
        <f t="shared" si="8"/>
        <v>Do Not Recommend</v>
      </c>
      <c r="Q84" t="str">
        <f t="shared" si="9"/>
        <v>No</v>
      </c>
      <c r="R84" t="str">
        <f t="shared" si="10"/>
        <v/>
      </c>
      <c r="S84">
        <f>IF(C84="","",Installer_Database!Z84)</f>
        <v>0</v>
      </c>
      <c r="T84">
        <f t="shared" si="11"/>
        <v>7</v>
      </c>
    </row>
    <row r="85" spans="1:20">
      <c r="A85" t="str">
        <f>[1]Installer_Database!A85</f>
        <v>INST-081</v>
      </c>
      <c r="B85">
        <f>Installer_Database!Y85</f>
        <v>0</v>
      </c>
      <c r="C85">
        <f>Installer_Database!B85</f>
        <v>0</v>
      </c>
      <c r="D85">
        <f>IF(C85="","",IF(ISNUMBER(SEARCH(Customer_Profile!$B$11,Installer_Database!G85)),15,IF(ISNUMBER(SEARCH(Customer_Profile!$B$10,Installer_Database!F85)),12,IF(ISNUMBER(SEARCH("National",Installer_Database!F85)),7,0))))</f>
        <v>0</v>
      </c>
      <c r="E85">
        <f>IF(C85="","",IF(ISNUMBER(SEARCH(Customer_Profile!$B$8,Installer_Database!H85)),15,IF(OR(AND(Customer_Profile!$B$8="Hospital",ISNUMBER(SEARCH("Commercial",Installer_Database!H85))),AND(Customer_Profile!$B$8="Hotel",ISNUMBER(SEARCH("Commercial",Installer_Database!H85))),AND(Customer_Profile!$B$8="School",ISNUMBER(SEARCH("Commercial",Installer_Database!H85)))),8,0)))</f>
        <v>0</v>
      </c>
      <c r="F85">
        <f>IF(C85="","",IFERROR(IF(VALUE(LEFT(Customer_Profile!$B$19,FIND("-",Customer_Profile!$B$19&amp;"-")-1))&lt;=Installer_Database!J85,15,IF(VALUE(LEFT(Customer_Profile!$B$19,FIND("-",Customer_Profile!$B$19&amp;"-")-1))&lt;=Installer_Database!J85*1.25,10,5)),8))</f>
        <v>5</v>
      </c>
      <c r="G85">
        <f>IF(C85="","",IF(Installer_Database!V85="Excellent",15,IF(Installer_Database!V85="Good",12,IF(Installer_Database!V85="Acceptable",8,IF(Installer_Database!V85="Weak",4,IF(Installer_Database!V85="Unverified",5,5))))))</f>
        <v>5</v>
      </c>
      <c r="H85">
        <f>IF(C85="","",IF(Installer_Database!K85="Strong",10,IF(Installer_Database!K85="Moderate",7,IF(Installer_Database!K85="Basic",4,IF(Installer_Database!K85="No",0,5)))))</f>
        <v>5</v>
      </c>
      <c r="I85">
        <f>IF(C85="","",IF(Installer_Database!W85="Excellent",10,IF(Installer_Database!W85="Good",8,IF(Installer_Database!W85="Acceptable",5,IF(Installer_Database!W85="Weak",2,IF(Installer_Database!W85="Unverified",4,4))))))</f>
        <v>4</v>
      </c>
      <c r="J85">
        <f>IF(C85="","",IF(Installer_Database!S85="Excellent",10,IF(Installer_Database!S85="Good",8,IF(Installer_Database!S85="Acceptable",5,IF(Installer_Database!S85="Weak",2,IF(Installer_Database!S85="Unverified",4,IF(Installer_Database!S85="Strong",10,IF(Installer_Database!S85="Basic",5,4))))))))</f>
        <v>4</v>
      </c>
      <c r="K85">
        <f>IF(C85="","",IF(Installer_Database!T85="Same day",5,IF(Installer_Database!T85="24-48 hours",4,IF(Installer_Database!T85="2-3 days",3,IF(Installer_Database!T85="Slow",1,2)))))</f>
        <v>2</v>
      </c>
      <c r="L85">
        <f>IF(C85="","",IF(Installer_Database!U85=Customer_Profile!$B$12,5,IF(OR(Installer_Database!U85="Mid-range",Customer_Profile!$B$12="Unknown"),3,1)))</f>
        <v>1</v>
      </c>
      <c r="M85" s="47">
        <f t="shared" si="6"/>
        <v>26</v>
      </c>
      <c r="N85" s="47">
        <f>100</f>
        <v>100</v>
      </c>
      <c r="O85" s="35">
        <f t="shared" si="7"/>
        <v>0.26</v>
      </c>
      <c r="P85" t="str">
        <f t="shared" si="8"/>
        <v>Do Not Recommend</v>
      </c>
      <c r="Q85" t="str">
        <f t="shared" si="9"/>
        <v>No</v>
      </c>
      <c r="R85" t="str">
        <f t="shared" si="10"/>
        <v/>
      </c>
      <c r="S85">
        <f>IF(C85="","",Installer_Database!Z85)</f>
        <v>0</v>
      </c>
      <c r="T85">
        <f t="shared" si="11"/>
        <v>7</v>
      </c>
    </row>
    <row r="86" spans="1:20">
      <c r="A86" t="str">
        <f>[1]Installer_Database!A86</f>
        <v>INST-082</v>
      </c>
      <c r="B86">
        <f>Installer_Database!Y86</f>
        <v>0</v>
      </c>
      <c r="C86">
        <f>Installer_Database!B86</f>
        <v>0</v>
      </c>
      <c r="D86">
        <f>IF(C86="","",IF(ISNUMBER(SEARCH(Customer_Profile!$B$11,Installer_Database!G86)),15,IF(ISNUMBER(SEARCH(Customer_Profile!$B$10,Installer_Database!F86)),12,IF(ISNUMBER(SEARCH("National",Installer_Database!F86)),7,0))))</f>
        <v>0</v>
      </c>
      <c r="E86">
        <f>IF(C86="","",IF(ISNUMBER(SEARCH(Customer_Profile!$B$8,Installer_Database!H86)),15,IF(OR(AND(Customer_Profile!$B$8="Hospital",ISNUMBER(SEARCH("Commercial",Installer_Database!H86))),AND(Customer_Profile!$B$8="Hotel",ISNUMBER(SEARCH("Commercial",Installer_Database!H86))),AND(Customer_Profile!$B$8="School",ISNUMBER(SEARCH("Commercial",Installer_Database!H86)))),8,0)))</f>
        <v>0</v>
      </c>
      <c r="F86">
        <f>IF(C86="","",IFERROR(IF(VALUE(LEFT(Customer_Profile!$B$19,FIND("-",Customer_Profile!$B$19&amp;"-")-1))&lt;=Installer_Database!J86,15,IF(VALUE(LEFT(Customer_Profile!$B$19,FIND("-",Customer_Profile!$B$19&amp;"-")-1))&lt;=Installer_Database!J86*1.25,10,5)),8))</f>
        <v>5</v>
      </c>
      <c r="G86">
        <f>IF(C86="","",IF(Installer_Database!V86="Excellent",15,IF(Installer_Database!V86="Good",12,IF(Installer_Database!V86="Acceptable",8,IF(Installer_Database!V86="Weak",4,IF(Installer_Database!V86="Unverified",5,5))))))</f>
        <v>5</v>
      </c>
      <c r="H86">
        <f>IF(C86="","",IF(Installer_Database!K86="Strong",10,IF(Installer_Database!K86="Moderate",7,IF(Installer_Database!K86="Basic",4,IF(Installer_Database!K86="No",0,5)))))</f>
        <v>5</v>
      </c>
      <c r="I86">
        <f>IF(C86="","",IF(Installer_Database!W86="Excellent",10,IF(Installer_Database!W86="Good",8,IF(Installer_Database!W86="Acceptable",5,IF(Installer_Database!W86="Weak",2,IF(Installer_Database!W86="Unverified",4,4))))))</f>
        <v>4</v>
      </c>
      <c r="J86">
        <f>IF(C86="","",IF(Installer_Database!S86="Excellent",10,IF(Installer_Database!S86="Good",8,IF(Installer_Database!S86="Acceptable",5,IF(Installer_Database!S86="Weak",2,IF(Installer_Database!S86="Unverified",4,IF(Installer_Database!S86="Strong",10,IF(Installer_Database!S86="Basic",5,4))))))))</f>
        <v>4</v>
      </c>
      <c r="K86">
        <f>IF(C86="","",IF(Installer_Database!T86="Same day",5,IF(Installer_Database!T86="24-48 hours",4,IF(Installer_Database!T86="2-3 days",3,IF(Installer_Database!T86="Slow",1,2)))))</f>
        <v>2</v>
      </c>
      <c r="L86">
        <f>IF(C86="","",IF(Installer_Database!U86=Customer_Profile!$B$12,5,IF(OR(Installer_Database!U86="Mid-range",Customer_Profile!$B$12="Unknown"),3,1)))</f>
        <v>1</v>
      </c>
      <c r="M86" s="47">
        <f t="shared" si="6"/>
        <v>26</v>
      </c>
      <c r="N86" s="47">
        <f>100</f>
        <v>100</v>
      </c>
      <c r="O86" s="35">
        <f t="shared" si="7"/>
        <v>0.26</v>
      </c>
      <c r="P86" t="str">
        <f t="shared" si="8"/>
        <v>Do Not Recommend</v>
      </c>
      <c r="Q86" t="str">
        <f t="shared" si="9"/>
        <v>No</v>
      </c>
      <c r="R86" t="str">
        <f t="shared" si="10"/>
        <v/>
      </c>
      <c r="S86">
        <f>IF(C86="","",Installer_Database!Z86)</f>
        <v>0</v>
      </c>
      <c r="T86">
        <f t="shared" si="11"/>
        <v>7</v>
      </c>
    </row>
    <row r="87" spans="1:20">
      <c r="A87" t="str">
        <f>[1]Installer_Database!A87</f>
        <v>INST-083</v>
      </c>
      <c r="B87">
        <f>Installer_Database!Y87</f>
        <v>0</v>
      </c>
      <c r="C87">
        <f>Installer_Database!B87</f>
        <v>0</v>
      </c>
      <c r="D87">
        <f>IF(C87="","",IF(ISNUMBER(SEARCH(Customer_Profile!$B$11,Installer_Database!G87)),15,IF(ISNUMBER(SEARCH(Customer_Profile!$B$10,Installer_Database!F87)),12,IF(ISNUMBER(SEARCH("National",Installer_Database!F87)),7,0))))</f>
        <v>0</v>
      </c>
      <c r="E87">
        <f>IF(C87="","",IF(ISNUMBER(SEARCH(Customer_Profile!$B$8,Installer_Database!H87)),15,IF(OR(AND(Customer_Profile!$B$8="Hospital",ISNUMBER(SEARCH("Commercial",Installer_Database!H87))),AND(Customer_Profile!$B$8="Hotel",ISNUMBER(SEARCH("Commercial",Installer_Database!H87))),AND(Customer_Profile!$B$8="School",ISNUMBER(SEARCH("Commercial",Installer_Database!H87)))),8,0)))</f>
        <v>0</v>
      </c>
      <c r="F87">
        <f>IF(C87="","",IFERROR(IF(VALUE(LEFT(Customer_Profile!$B$19,FIND("-",Customer_Profile!$B$19&amp;"-")-1))&lt;=Installer_Database!J87,15,IF(VALUE(LEFT(Customer_Profile!$B$19,FIND("-",Customer_Profile!$B$19&amp;"-")-1))&lt;=Installer_Database!J87*1.25,10,5)),8))</f>
        <v>5</v>
      </c>
      <c r="G87">
        <f>IF(C87="","",IF(Installer_Database!V87="Excellent",15,IF(Installer_Database!V87="Good",12,IF(Installer_Database!V87="Acceptable",8,IF(Installer_Database!V87="Weak",4,IF(Installer_Database!V87="Unverified",5,5))))))</f>
        <v>5</v>
      </c>
      <c r="H87">
        <f>IF(C87="","",IF(Installer_Database!K87="Strong",10,IF(Installer_Database!K87="Moderate",7,IF(Installer_Database!K87="Basic",4,IF(Installer_Database!K87="No",0,5)))))</f>
        <v>5</v>
      </c>
      <c r="I87">
        <f>IF(C87="","",IF(Installer_Database!W87="Excellent",10,IF(Installer_Database!W87="Good",8,IF(Installer_Database!W87="Acceptable",5,IF(Installer_Database!W87="Weak",2,IF(Installer_Database!W87="Unverified",4,4))))))</f>
        <v>4</v>
      </c>
      <c r="J87">
        <f>IF(C87="","",IF(Installer_Database!S87="Excellent",10,IF(Installer_Database!S87="Good",8,IF(Installer_Database!S87="Acceptable",5,IF(Installer_Database!S87="Weak",2,IF(Installer_Database!S87="Unverified",4,IF(Installer_Database!S87="Strong",10,IF(Installer_Database!S87="Basic",5,4))))))))</f>
        <v>4</v>
      </c>
      <c r="K87">
        <f>IF(C87="","",IF(Installer_Database!T87="Same day",5,IF(Installer_Database!T87="24-48 hours",4,IF(Installer_Database!T87="2-3 days",3,IF(Installer_Database!T87="Slow",1,2)))))</f>
        <v>2</v>
      </c>
      <c r="L87">
        <f>IF(C87="","",IF(Installer_Database!U87=Customer_Profile!$B$12,5,IF(OR(Installer_Database!U87="Mid-range",Customer_Profile!$B$12="Unknown"),3,1)))</f>
        <v>1</v>
      </c>
      <c r="M87" s="47">
        <f t="shared" si="6"/>
        <v>26</v>
      </c>
      <c r="N87" s="47">
        <f>100</f>
        <v>100</v>
      </c>
      <c r="O87" s="35">
        <f t="shared" si="7"/>
        <v>0.26</v>
      </c>
      <c r="P87" t="str">
        <f t="shared" si="8"/>
        <v>Do Not Recommend</v>
      </c>
      <c r="Q87" t="str">
        <f t="shared" si="9"/>
        <v>No</v>
      </c>
      <c r="R87" t="str">
        <f t="shared" si="10"/>
        <v/>
      </c>
      <c r="S87">
        <f>IF(C87="","",Installer_Database!Z87)</f>
        <v>0</v>
      </c>
      <c r="T87">
        <f t="shared" si="11"/>
        <v>7</v>
      </c>
    </row>
    <row r="88" spans="1:20">
      <c r="A88" t="str">
        <f>[1]Installer_Database!A88</f>
        <v>INST-084</v>
      </c>
      <c r="B88">
        <f>Installer_Database!Y88</f>
        <v>0</v>
      </c>
      <c r="C88">
        <f>Installer_Database!B88</f>
        <v>0</v>
      </c>
      <c r="D88">
        <f>IF(C88="","",IF(ISNUMBER(SEARCH(Customer_Profile!$B$11,Installer_Database!G88)),15,IF(ISNUMBER(SEARCH(Customer_Profile!$B$10,Installer_Database!F88)),12,IF(ISNUMBER(SEARCH("National",Installer_Database!F88)),7,0))))</f>
        <v>0</v>
      </c>
      <c r="E88">
        <f>IF(C88="","",IF(ISNUMBER(SEARCH(Customer_Profile!$B$8,Installer_Database!H88)),15,IF(OR(AND(Customer_Profile!$B$8="Hospital",ISNUMBER(SEARCH("Commercial",Installer_Database!H88))),AND(Customer_Profile!$B$8="Hotel",ISNUMBER(SEARCH("Commercial",Installer_Database!H88))),AND(Customer_Profile!$B$8="School",ISNUMBER(SEARCH("Commercial",Installer_Database!H88)))),8,0)))</f>
        <v>0</v>
      </c>
      <c r="F88">
        <f>IF(C88="","",IFERROR(IF(VALUE(LEFT(Customer_Profile!$B$19,FIND("-",Customer_Profile!$B$19&amp;"-")-1))&lt;=Installer_Database!J88,15,IF(VALUE(LEFT(Customer_Profile!$B$19,FIND("-",Customer_Profile!$B$19&amp;"-")-1))&lt;=Installer_Database!J88*1.25,10,5)),8))</f>
        <v>5</v>
      </c>
      <c r="G88">
        <f>IF(C88="","",IF(Installer_Database!V88="Excellent",15,IF(Installer_Database!V88="Good",12,IF(Installer_Database!V88="Acceptable",8,IF(Installer_Database!V88="Weak",4,IF(Installer_Database!V88="Unverified",5,5))))))</f>
        <v>5</v>
      </c>
      <c r="H88">
        <f>IF(C88="","",IF(Installer_Database!K88="Strong",10,IF(Installer_Database!K88="Moderate",7,IF(Installer_Database!K88="Basic",4,IF(Installer_Database!K88="No",0,5)))))</f>
        <v>5</v>
      </c>
      <c r="I88">
        <f>IF(C88="","",IF(Installer_Database!W88="Excellent",10,IF(Installer_Database!W88="Good",8,IF(Installer_Database!W88="Acceptable",5,IF(Installer_Database!W88="Weak",2,IF(Installer_Database!W88="Unverified",4,4))))))</f>
        <v>4</v>
      </c>
      <c r="J88">
        <f>IF(C88="","",IF(Installer_Database!S88="Excellent",10,IF(Installer_Database!S88="Good",8,IF(Installer_Database!S88="Acceptable",5,IF(Installer_Database!S88="Weak",2,IF(Installer_Database!S88="Unverified",4,IF(Installer_Database!S88="Strong",10,IF(Installer_Database!S88="Basic",5,4))))))))</f>
        <v>4</v>
      </c>
      <c r="K88">
        <f>IF(C88="","",IF(Installer_Database!T88="Same day",5,IF(Installer_Database!T88="24-48 hours",4,IF(Installer_Database!T88="2-3 days",3,IF(Installer_Database!T88="Slow",1,2)))))</f>
        <v>2</v>
      </c>
      <c r="L88">
        <f>IF(C88="","",IF(Installer_Database!U88=Customer_Profile!$B$12,5,IF(OR(Installer_Database!U88="Mid-range",Customer_Profile!$B$12="Unknown"),3,1)))</f>
        <v>1</v>
      </c>
      <c r="M88" s="47">
        <f t="shared" si="6"/>
        <v>26</v>
      </c>
      <c r="N88" s="47">
        <f>100</f>
        <v>100</v>
      </c>
      <c r="O88" s="35">
        <f t="shared" si="7"/>
        <v>0.26</v>
      </c>
      <c r="P88" t="str">
        <f t="shared" si="8"/>
        <v>Do Not Recommend</v>
      </c>
      <c r="Q88" t="str">
        <f t="shared" si="9"/>
        <v>No</v>
      </c>
      <c r="R88" t="str">
        <f t="shared" si="10"/>
        <v/>
      </c>
      <c r="S88">
        <f>IF(C88="","",Installer_Database!Z88)</f>
        <v>0</v>
      </c>
      <c r="T88">
        <f t="shared" si="11"/>
        <v>7</v>
      </c>
    </row>
    <row r="89" spans="1:20">
      <c r="A89" t="str">
        <f>[1]Installer_Database!A89</f>
        <v>INST-085</v>
      </c>
      <c r="B89">
        <f>Installer_Database!Y89</f>
        <v>0</v>
      </c>
      <c r="C89">
        <f>Installer_Database!B89</f>
        <v>0</v>
      </c>
      <c r="D89">
        <f>IF(C89="","",IF(ISNUMBER(SEARCH(Customer_Profile!$B$11,Installer_Database!G89)),15,IF(ISNUMBER(SEARCH(Customer_Profile!$B$10,Installer_Database!F89)),12,IF(ISNUMBER(SEARCH("National",Installer_Database!F89)),7,0))))</f>
        <v>0</v>
      </c>
      <c r="E89">
        <f>IF(C89="","",IF(ISNUMBER(SEARCH(Customer_Profile!$B$8,Installer_Database!H89)),15,IF(OR(AND(Customer_Profile!$B$8="Hospital",ISNUMBER(SEARCH("Commercial",Installer_Database!H89))),AND(Customer_Profile!$B$8="Hotel",ISNUMBER(SEARCH("Commercial",Installer_Database!H89))),AND(Customer_Profile!$B$8="School",ISNUMBER(SEARCH("Commercial",Installer_Database!H89)))),8,0)))</f>
        <v>0</v>
      </c>
      <c r="F89">
        <f>IF(C89="","",IFERROR(IF(VALUE(LEFT(Customer_Profile!$B$19,FIND("-",Customer_Profile!$B$19&amp;"-")-1))&lt;=Installer_Database!J89,15,IF(VALUE(LEFT(Customer_Profile!$B$19,FIND("-",Customer_Profile!$B$19&amp;"-")-1))&lt;=Installer_Database!J89*1.25,10,5)),8))</f>
        <v>5</v>
      </c>
      <c r="G89">
        <f>IF(C89="","",IF(Installer_Database!V89="Excellent",15,IF(Installer_Database!V89="Good",12,IF(Installer_Database!V89="Acceptable",8,IF(Installer_Database!V89="Weak",4,IF(Installer_Database!V89="Unverified",5,5))))))</f>
        <v>5</v>
      </c>
      <c r="H89">
        <f>IF(C89="","",IF(Installer_Database!K89="Strong",10,IF(Installer_Database!K89="Moderate",7,IF(Installer_Database!K89="Basic",4,IF(Installer_Database!K89="No",0,5)))))</f>
        <v>5</v>
      </c>
      <c r="I89">
        <f>IF(C89="","",IF(Installer_Database!W89="Excellent",10,IF(Installer_Database!W89="Good",8,IF(Installer_Database!W89="Acceptable",5,IF(Installer_Database!W89="Weak",2,IF(Installer_Database!W89="Unverified",4,4))))))</f>
        <v>4</v>
      </c>
      <c r="J89">
        <f>IF(C89="","",IF(Installer_Database!S89="Excellent",10,IF(Installer_Database!S89="Good",8,IF(Installer_Database!S89="Acceptable",5,IF(Installer_Database!S89="Weak",2,IF(Installer_Database!S89="Unverified",4,IF(Installer_Database!S89="Strong",10,IF(Installer_Database!S89="Basic",5,4))))))))</f>
        <v>4</v>
      </c>
      <c r="K89">
        <f>IF(C89="","",IF(Installer_Database!T89="Same day",5,IF(Installer_Database!T89="24-48 hours",4,IF(Installer_Database!T89="2-3 days",3,IF(Installer_Database!T89="Slow",1,2)))))</f>
        <v>2</v>
      </c>
      <c r="L89">
        <f>IF(C89="","",IF(Installer_Database!U89=Customer_Profile!$B$12,5,IF(OR(Installer_Database!U89="Mid-range",Customer_Profile!$B$12="Unknown"),3,1)))</f>
        <v>1</v>
      </c>
      <c r="M89" s="47">
        <f t="shared" si="6"/>
        <v>26</v>
      </c>
      <c r="N89" s="47">
        <f>100</f>
        <v>100</v>
      </c>
      <c r="O89" s="35">
        <f t="shared" si="7"/>
        <v>0.26</v>
      </c>
      <c r="P89" t="str">
        <f t="shared" si="8"/>
        <v>Do Not Recommend</v>
      </c>
      <c r="Q89" t="str">
        <f t="shared" si="9"/>
        <v>No</v>
      </c>
      <c r="R89" t="str">
        <f t="shared" si="10"/>
        <v/>
      </c>
      <c r="S89">
        <f>IF(C89="","",Installer_Database!Z89)</f>
        <v>0</v>
      </c>
      <c r="T89">
        <f t="shared" si="11"/>
        <v>7</v>
      </c>
    </row>
    <row r="90" spans="1:20">
      <c r="A90" t="str">
        <f>[1]Installer_Database!A90</f>
        <v>INST-086</v>
      </c>
      <c r="B90">
        <f>Installer_Database!Y90</f>
        <v>0</v>
      </c>
      <c r="C90">
        <f>Installer_Database!B90</f>
        <v>0</v>
      </c>
      <c r="D90">
        <f>IF(C90="","",IF(ISNUMBER(SEARCH(Customer_Profile!$B$11,Installer_Database!G90)),15,IF(ISNUMBER(SEARCH(Customer_Profile!$B$10,Installer_Database!F90)),12,IF(ISNUMBER(SEARCH("National",Installer_Database!F90)),7,0))))</f>
        <v>0</v>
      </c>
      <c r="E90">
        <f>IF(C90="","",IF(ISNUMBER(SEARCH(Customer_Profile!$B$8,Installer_Database!H90)),15,IF(OR(AND(Customer_Profile!$B$8="Hospital",ISNUMBER(SEARCH("Commercial",Installer_Database!H90))),AND(Customer_Profile!$B$8="Hotel",ISNUMBER(SEARCH("Commercial",Installer_Database!H90))),AND(Customer_Profile!$B$8="School",ISNUMBER(SEARCH("Commercial",Installer_Database!H90)))),8,0)))</f>
        <v>0</v>
      </c>
      <c r="F90">
        <f>IF(C90="","",IFERROR(IF(VALUE(LEFT(Customer_Profile!$B$19,FIND("-",Customer_Profile!$B$19&amp;"-")-1))&lt;=Installer_Database!J90,15,IF(VALUE(LEFT(Customer_Profile!$B$19,FIND("-",Customer_Profile!$B$19&amp;"-")-1))&lt;=Installer_Database!J90*1.25,10,5)),8))</f>
        <v>5</v>
      </c>
      <c r="G90">
        <f>IF(C90="","",IF(Installer_Database!V90="Excellent",15,IF(Installer_Database!V90="Good",12,IF(Installer_Database!V90="Acceptable",8,IF(Installer_Database!V90="Weak",4,IF(Installer_Database!V90="Unverified",5,5))))))</f>
        <v>5</v>
      </c>
      <c r="H90">
        <f>IF(C90="","",IF(Installer_Database!K90="Strong",10,IF(Installer_Database!K90="Moderate",7,IF(Installer_Database!K90="Basic",4,IF(Installer_Database!K90="No",0,5)))))</f>
        <v>5</v>
      </c>
      <c r="I90">
        <f>IF(C90="","",IF(Installer_Database!W90="Excellent",10,IF(Installer_Database!W90="Good",8,IF(Installer_Database!W90="Acceptable",5,IF(Installer_Database!W90="Weak",2,IF(Installer_Database!W90="Unverified",4,4))))))</f>
        <v>4</v>
      </c>
      <c r="J90">
        <f>IF(C90="","",IF(Installer_Database!S90="Excellent",10,IF(Installer_Database!S90="Good",8,IF(Installer_Database!S90="Acceptable",5,IF(Installer_Database!S90="Weak",2,IF(Installer_Database!S90="Unverified",4,IF(Installer_Database!S90="Strong",10,IF(Installer_Database!S90="Basic",5,4))))))))</f>
        <v>4</v>
      </c>
      <c r="K90">
        <f>IF(C90="","",IF(Installer_Database!T90="Same day",5,IF(Installer_Database!T90="24-48 hours",4,IF(Installer_Database!T90="2-3 days",3,IF(Installer_Database!T90="Slow",1,2)))))</f>
        <v>2</v>
      </c>
      <c r="L90">
        <f>IF(C90="","",IF(Installer_Database!U90=Customer_Profile!$B$12,5,IF(OR(Installer_Database!U90="Mid-range",Customer_Profile!$B$12="Unknown"),3,1)))</f>
        <v>1</v>
      </c>
      <c r="M90" s="47">
        <f t="shared" si="6"/>
        <v>26</v>
      </c>
      <c r="N90" s="47">
        <f>100</f>
        <v>100</v>
      </c>
      <c r="O90" s="35">
        <f t="shared" si="7"/>
        <v>0.26</v>
      </c>
      <c r="P90" t="str">
        <f t="shared" si="8"/>
        <v>Do Not Recommend</v>
      </c>
      <c r="Q90" t="str">
        <f t="shared" si="9"/>
        <v>No</v>
      </c>
      <c r="R90" t="str">
        <f t="shared" si="10"/>
        <v/>
      </c>
      <c r="S90">
        <f>IF(C90="","",Installer_Database!Z90)</f>
        <v>0</v>
      </c>
      <c r="T90">
        <f t="shared" si="11"/>
        <v>7</v>
      </c>
    </row>
    <row r="91" spans="1:20">
      <c r="A91" t="str">
        <f>[1]Installer_Database!A91</f>
        <v>INST-087</v>
      </c>
      <c r="B91">
        <f>Installer_Database!Y91</f>
        <v>0</v>
      </c>
      <c r="C91">
        <f>Installer_Database!B91</f>
        <v>0</v>
      </c>
      <c r="D91">
        <f>IF(C91="","",IF(ISNUMBER(SEARCH(Customer_Profile!$B$11,Installer_Database!G91)),15,IF(ISNUMBER(SEARCH(Customer_Profile!$B$10,Installer_Database!F91)),12,IF(ISNUMBER(SEARCH("National",Installer_Database!F91)),7,0))))</f>
        <v>0</v>
      </c>
      <c r="E91">
        <f>IF(C91="","",IF(ISNUMBER(SEARCH(Customer_Profile!$B$8,Installer_Database!H91)),15,IF(OR(AND(Customer_Profile!$B$8="Hospital",ISNUMBER(SEARCH("Commercial",Installer_Database!H91))),AND(Customer_Profile!$B$8="Hotel",ISNUMBER(SEARCH("Commercial",Installer_Database!H91))),AND(Customer_Profile!$B$8="School",ISNUMBER(SEARCH("Commercial",Installer_Database!H91)))),8,0)))</f>
        <v>0</v>
      </c>
      <c r="F91">
        <f>IF(C91="","",IFERROR(IF(VALUE(LEFT(Customer_Profile!$B$19,FIND("-",Customer_Profile!$B$19&amp;"-")-1))&lt;=Installer_Database!J91,15,IF(VALUE(LEFT(Customer_Profile!$B$19,FIND("-",Customer_Profile!$B$19&amp;"-")-1))&lt;=Installer_Database!J91*1.25,10,5)),8))</f>
        <v>5</v>
      </c>
      <c r="G91">
        <f>IF(C91="","",IF(Installer_Database!V91="Excellent",15,IF(Installer_Database!V91="Good",12,IF(Installer_Database!V91="Acceptable",8,IF(Installer_Database!V91="Weak",4,IF(Installer_Database!V91="Unverified",5,5))))))</f>
        <v>5</v>
      </c>
      <c r="H91">
        <f>IF(C91="","",IF(Installer_Database!K91="Strong",10,IF(Installer_Database!K91="Moderate",7,IF(Installer_Database!K91="Basic",4,IF(Installer_Database!K91="No",0,5)))))</f>
        <v>5</v>
      </c>
      <c r="I91">
        <f>IF(C91="","",IF(Installer_Database!W91="Excellent",10,IF(Installer_Database!W91="Good",8,IF(Installer_Database!W91="Acceptable",5,IF(Installer_Database!W91="Weak",2,IF(Installer_Database!W91="Unverified",4,4))))))</f>
        <v>4</v>
      </c>
      <c r="J91">
        <f>IF(C91="","",IF(Installer_Database!S91="Excellent",10,IF(Installer_Database!S91="Good",8,IF(Installer_Database!S91="Acceptable",5,IF(Installer_Database!S91="Weak",2,IF(Installer_Database!S91="Unverified",4,IF(Installer_Database!S91="Strong",10,IF(Installer_Database!S91="Basic",5,4))))))))</f>
        <v>4</v>
      </c>
      <c r="K91">
        <f>IF(C91="","",IF(Installer_Database!T91="Same day",5,IF(Installer_Database!T91="24-48 hours",4,IF(Installer_Database!T91="2-3 days",3,IF(Installer_Database!T91="Slow",1,2)))))</f>
        <v>2</v>
      </c>
      <c r="L91">
        <f>IF(C91="","",IF(Installer_Database!U91=Customer_Profile!$B$12,5,IF(OR(Installer_Database!U91="Mid-range",Customer_Profile!$B$12="Unknown"),3,1)))</f>
        <v>1</v>
      </c>
      <c r="M91" s="47">
        <f t="shared" si="6"/>
        <v>26</v>
      </c>
      <c r="N91" s="47">
        <f>100</f>
        <v>100</v>
      </c>
      <c r="O91" s="35">
        <f t="shared" si="7"/>
        <v>0.26</v>
      </c>
      <c r="P91" t="str">
        <f t="shared" si="8"/>
        <v>Do Not Recommend</v>
      </c>
      <c r="Q91" t="str">
        <f t="shared" si="9"/>
        <v>No</v>
      </c>
      <c r="R91" t="str">
        <f t="shared" si="10"/>
        <v/>
      </c>
      <c r="S91">
        <f>IF(C91="","",Installer_Database!Z91)</f>
        <v>0</v>
      </c>
      <c r="T91">
        <f t="shared" si="11"/>
        <v>7</v>
      </c>
    </row>
    <row r="92" spans="1:20">
      <c r="A92" t="str">
        <f>[1]Installer_Database!A92</f>
        <v>INST-088</v>
      </c>
      <c r="B92">
        <f>Installer_Database!Y92</f>
        <v>0</v>
      </c>
      <c r="C92">
        <f>Installer_Database!B92</f>
        <v>0</v>
      </c>
      <c r="D92">
        <f>IF(C92="","",IF(ISNUMBER(SEARCH(Customer_Profile!$B$11,Installer_Database!G92)),15,IF(ISNUMBER(SEARCH(Customer_Profile!$B$10,Installer_Database!F92)),12,IF(ISNUMBER(SEARCH("National",Installer_Database!F92)),7,0))))</f>
        <v>0</v>
      </c>
      <c r="E92">
        <f>IF(C92="","",IF(ISNUMBER(SEARCH(Customer_Profile!$B$8,Installer_Database!H92)),15,IF(OR(AND(Customer_Profile!$B$8="Hospital",ISNUMBER(SEARCH("Commercial",Installer_Database!H92))),AND(Customer_Profile!$B$8="Hotel",ISNUMBER(SEARCH("Commercial",Installer_Database!H92))),AND(Customer_Profile!$B$8="School",ISNUMBER(SEARCH("Commercial",Installer_Database!H92)))),8,0)))</f>
        <v>0</v>
      </c>
      <c r="F92">
        <f>IF(C92="","",IFERROR(IF(VALUE(LEFT(Customer_Profile!$B$19,FIND("-",Customer_Profile!$B$19&amp;"-")-1))&lt;=Installer_Database!J92,15,IF(VALUE(LEFT(Customer_Profile!$B$19,FIND("-",Customer_Profile!$B$19&amp;"-")-1))&lt;=Installer_Database!J92*1.25,10,5)),8))</f>
        <v>5</v>
      </c>
      <c r="G92">
        <f>IF(C92="","",IF(Installer_Database!V92="Excellent",15,IF(Installer_Database!V92="Good",12,IF(Installer_Database!V92="Acceptable",8,IF(Installer_Database!V92="Weak",4,IF(Installer_Database!V92="Unverified",5,5))))))</f>
        <v>5</v>
      </c>
      <c r="H92">
        <f>IF(C92="","",IF(Installer_Database!K92="Strong",10,IF(Installer_Database!K92="Moderate",7,IF(Installer_Database!K92="Basic",4,IF(Installer_Database!K92="No",0,5)))))</f>
        <v>5</v>
      </c>
      <c r="I92">
        <f>IF(C92="","",IF(Installer_Database!W92="Excellent",10,IF(Installer_Database!W92="Good",8,IF(Installer_Database!W92="Acceptable",5,IF(Installer_Database!W92="Weak",2,IF(Installer_Database!W92="Unverified",4,4))))))</f>
        <v>4</v>
      </c>
      <c r="J92">
        <f>IF(C92="","",IF(Installer_Database!S92="Excellent",10,IF(Installer_Database!S92="Good",8,IF(Installer_Database!S92="Acceptable",5,IF(Installer_Database!S92="Weak",2,IF(Installer_Database!S92="Unverified",4,IF(Installer_Database!S92="Strong",10,IF(Installer_Database!S92="Basic",5,4))))))))</f>
        <v>4</v>
      </c>
      <c r="K92">
        <f>IF(C92="","",IF(Installer_Database!T92="Same day",5,IF(Installer_Database!T92="24-48 hours",4,IF(Installer_Database!T92="2-3 days",3,IF(Installer_Database!T92="Slow",1,2)))))</f>
        <v>2</v>
      </c>
      <c r="L92">
        <f>IF(C92="","",IF(Installer_Database!U92=Customer_Profile!$B$12,5,IF(OR(Installer_Database!U92="Mid-range",Customer_Profile!$B$12="Unknown"),3,1)))</f>
        <v>1</v>
      </c>
      <c r="M92" s="47">
        <f t="shared" si="6"/>
        <v>26</v>
      </c>
      <c r="N92" s="47">
        <f>100</f>
        <v>100</v>
      </c>
      <c r="O92" s="35">
        <f t="shared" si="7"/>
        <v>0.26</v>
      </c>
      <c r="P92" t="str">
        <f t="shared" si="8"/>
        <v>Do Not Recommend</v>
      </c>
      <c r="Q92" t="str">
        <f t="shared" si="9"/>
        <v>No</v>
      </c>
      <c r="R92" t="str">
        <f t="shared" si="10"/>
        <v/>
      </c>
      <c r="S92">
        <f>IF(C92="","",Installer_Database!Z92)</f>
        <v>0</v>
      </c>
      <c r="T92">
        <f t="shared" si="11"/>
        <v>7</v>
      </c>
    </row>
    <row r="93" spans="1:20">
      <c r="A93" t="str">
        <f>[1]Installer_Database!A93</f>
        <v>INST-089</v>
      </c>
      <c r="B93">
        <f>Installer_Database!Y93</f>
        <v>0</v>
      </c>
      <c r="C93">
        <f>Installer_Database!B93</f>
        <v>0</v>
      </c>
      <c r="D93">
        <f>IF(C93="","",IF(ISNUMBER(SEARCH(Customer_Profile!$B$11,Installer_Database!G93)),15,IF(ISNUMBER(SEARCH(Customer_Profile!$B$10,Installer_Database!F93)),12,IF(ISNUMBER(SEARCH("National",Installer_Database!F93)),7,0))))</f>
        <v>0</v>
      </c>
      <c r="E93">
        <f>IF(C93="","",IF(ISNUMBER(SEARCH(Customer_Profile!$B$8,Installer_Database!H93)),15,IF(OR(AND(Customer_Profile!$B$8="Hospital",ISNUMBER(SEARCH("Commercial",Installer_Database!H93))),AND(Customer_Profile!$B$8="Hotel",ISNUMBER(SEARCH("Commercial",Installer_Database!H93))),AND(Customer_Profile!$B$8="School",ISNUMBER(SEARCH("Commercial",Installer_Database!H93)))),8,0)))</f>
        <v>0</v>
      </c>
      <c r="F93">
        <f>IF(C93="","",IFERROR(IF(VALUE(LEFT(Customer_Profile!$B$19,FIND("-",Customer_Profile!$B$19&amp;"-")-1))&lt;=Installer_Database!J93,15,IF(VALUE(LEFT(Customer_Profile!$B$19,FIND("-",Customer_Profile!$B$19&amp;"-")-1))&lt;=Installer_Database!J93*1.25,10,5)),8))</f>
        <v>5</v>
      </c>
      <c r="G93">
        <f>IF(C93="","",IF(Installer_Database!V93="Excellent",15,IF(Installer_Database!V93="Good",12,IF(Installer_Database!V93="Acceptable",8,IF(Installer_Database!V93="Weak",4,IF(Installer_Database!V93="Unverified",5,5))))))</f>
        <v>5</v>
      </c>
      <c r="H93">
        <f>IF(C93="","",IF(Installer_Database!K93="Strong",10,IF(Installer_Database!K93="Moderate",7,IF(Installer_Database!K93="Basic",4,IF(Installer_Database!K93="No",0,5)))))</f>
        <v>5</v>
      </c>
      <c r="I93">
        <f>IF(C93="","",IF(Installer_Database!W93="Excellent",10,IF(Installer_Database!W93="Good",8,IF(Installer_Database!W93="Acceptable",5,IF(Installer_Database!W93="Weak",2,IF(Installer_Database!W93="Unverified",4,4))))))</f>
        <v>4</v>
      </c>
      <c r="J93">
        <f>IF(C93="","",IF(Installer_Database!S93="Excellent",10,IF(Installer_Database!S93="Good",8,IF(Installer_Database!S93="Acceptable",5,IF(Installer_Database!S93="Weak",2,IF(Installer_Database!S93="Unverified",4,IF(Installer_Database!S93="Strong",10,IF(Installer_Database!S93="Basic",5,4))))))))</f>
        <v>4</v>
      </c>
      <c r="K93">
        <f>IF(C93="","",IF(Installer_Database!T93="Same day",5,IF(Installer_Database!T93="24-48 hours",4,IF(Installer_Database!T93="2-3 days",3,IF(Installer_Database!T93="Slow",1,2)))))</f>
        <v>2</v>
      </c>
      <c r="L93">
        <f>IF(C93="","",IF(Installer_Database!U93=Customer_Profile!$B$12,5,IF(OR(Installer_Database!U93="Mid-range",Customer_Profile!$B$12="Unknown"),3,1)))</f>
        <v>1</v>
      </c>
      <c r="M93" s="47">
        <f t="shared" si="6"/>
        <v>26</v>
      </c>
      <c r="N93" s="47">
        <f>100</f>
        <v>100</v>
      </c>
      <c r="O93" s="35">
        <f t="shared" si="7"/>
        <v>0.26</v>
      </c>
      <c r="P93" t="str">
        <f t="shared" si="8"/>
        <v>Do Not Recommend</v>
      </c>
      <c r="Q93" t="str">
        <f t="shared" si="9"/>
        <v>No</v>
      </c>
      <c r="R93" t="str">
        <f t="shared" si="10"/>
        <v/>
      </c>
      <c r="S93">
        <f>IF(C93="","",Installer_Database!Z93)</f>
        <v>0</v>
      </c>
      <c r="T93">
        <f t="shared" si="11"/>
        <v>7</v>
      </c>
    </row>
    <row r="94" spans="1:20">
      <c r="A94" t="str">
        <f>[1]Installer_Database!A94</f>
        <v>INST-090</v>
      </c>
      <c r="B94">
        <f>Installer_Database!Y94</f>
        <v>0</v>
      </c>
      <c r="C94">
        <f>Installer_Database!B94</f>
        <v>0</v>
      </c>
      <c r="D94">
        <f>IF(C94="","",IF(ISNUMBER(SEARCH(Customer_Profile!$B$11,Installer_Database!G94)),15,IF(ISNUMBER(SEARCH(Customer_Profile!$B$10,Installer_Database!F94)),12,IF(ISNUMBER(SEARCH("National",Installer_Database!F94)),7,0))))</f>
        <v>0</v>
      </c>
      <c r="E94">
        <f>IF(C94="","",IF(ISNUMBER(SEARCH(Customer_Profile!$B$8,Installer_Database!H94)),15,IF(OR(AND(Customer_Profile!$B$8="Hospital",ISNUMBER(SEARCH("Commercial",Installer_Database!H94))),AND(Customer_Profile!$B$8="Hotel",ISNUMBER(SEARCH("Commercial",Installer_Database!H94))),AND(Customer_Profile!$B$8="School",ISNUMBER(SEARCH("Commercial",Installer_Database!H94)))),8,0)))</f>
        <v>0</v>
      </c>
      <c r="F94">
        <f>IF(C94="","",IFERROR(IF(VALUE(LEFT(Customer_Profile!$B$19,FIND("-",Customer_Profile!$B$19&amp;"-")-1))&lt;=Installer_Database!J94,15,IF(VALUE(LEFT(Customer_Profile!$B$19,FIND("-",Customer_Profile!$B$19&amp;"-")-1))&lt;=Installer_Database!J94*1.25,10,5)),8))</f>
        <v>5</v>
      </c>
      <c r="G94">
        <f>IF(C94="","",IF(Installer_Database!V94="Excellent",15,IF(Installer_Database!V94="Good",12,IF(Installer_Database!V94="Acceptable",8,IF(Installer_Database!V94="Weak",4,IF(Installer_Database!V94="Unverified",5,5))))))</f>
        <v>5</v>
      </c>
      <c r="H94">
        <f>IF(C94="","",IF(Installer_Database!K94="Strong",10,IF(Installer_Database!K94="Moderate",7,IF(Installer_Database!K94="Basic",4,IF(Installer_Database!K94="No",0,5)))))</f>
        <v>5</v>
      </c>
      <c r="I94">
        <f>IF(C94="","",IF(Installer_Database!W94="Excellent",10,IF(Installer_Database!W94="Good",8,IF(Installer_Database!W94="Acceptable",5,IF(Installer_Database!W94="Weak",2,IF(Installer_Database!W94="Unverified",4,4))))))</f>
        <v>4</v>
      </c>
      <c r="J94">
        <f>IF(C94="","",IF(Installer_Database!S94="Excellent",10,IF(Installer_Database!S94="Good",8,IF(Installer_Database!S94="Acceptable",5,IF(Installer_Database!S94="Weak",2,IF(Installer_Database!S94="Unverified",4,IF(Installer_Database!S94="Strong",10,IF(Installer_Database!S94="Basic",5,4))))))))</f>
        <v>4</v>
      </c>
      <c r="K94">
        <f>IF(C94="","",IF(Installer_Database!T94="Same day",5,IF(Installer_Database!T94="24-48 hours",4,IF(Installer_Database!T94="2-3 days",3,IF(Installer_Database!T94="Slow",1,2)))))</f>
        <v>2</v>
      </c>
      <c r="L94">
        <f>IF(C94="","",IF(Installer_Database!U94=Customer_Profile!$B$12,5,IF(OR(Installer_Database!U94="Mid-range",Customer_Profile!$B$12="Unknown"),3,1)))</f>
        <v>1</v>
      </c>
      <c r="M94" s="47">
        <f t="shared" si="6"/>
        <v>26</v>
      </c>
      <c r="N94" s="47">
        <f>100</f>
        <v>100</v>
      </c>
      <c r="O94" s="35">
        <f t="shared" si="7"/>
        <v>0.26</v>
      </c>
      <c r="P94" t="str">
        <f t="shared" si="8"/>
        <v>Do Not Recommend</v>
      </c>
      <c r="Q94" t="str">
        <f t="shared" si="9"/>
        <v>No</v>
      </c>
      <c r="R94" t="str">
        <f t="shared" si="10"/>
        <v/>
      </c>
      <c r="S94">
        <f>IF(C94="","",Installer_Database!Z94)</f>
        <v>0</v>
      </c>
      <c r="T94">
        <f t="shared" si="11"/>
        <v>7</v>
      </c>
    </row>
    <row r="95" spans="1:20">
      <c r="A95" t="str">
        <f>[1]Installer_Database!A95</f>
        <v>INST-091</v>
      </c>
      <c r="B95">
        <f>Installer_Database!Y95</f>
        <v>0</v>
      </c>
      <c r="C95">
        <f>Installer_Database!B95</f>
        <v>0</v>
      </c>
      <c r="D95">
        <f>IF(C95="","",IF(ISNUMBER(SEARCH(Customer_Profile!$B$11,Installer_Database!G95)),15,IF(ISNUMBER(SEARCH(Customer_Profile!$B$10,Installer_Database!F95)),12,IF(ISNUMBER(SEARCH("National",Installer_Database!F95)),7,0))))</f>
        <v>0</v>
      </c>
      <c r="E95">
        <f>IF(C95="","",IF(ISNUMBER(SEARCH(Customer_Profile!$B$8,Installer_Database!H95)),15,IF(OR(AND(Customer_Profile!$B$8="Hospital",ISNUMBER(SEARCH("Commercial",Installer_Database!H95))),AND(Customer_Profile!$B$8="Hotel",ISNUMBER(SEARCH("Commercial",Installer_Database!H95))),AND(Customer_Profile!$B$8="School",ISNUMBER(SEARCH("Commercial",Installer_Database!H95)))),8,0)))</f>
        <v>0</v>
      </c>
      <c r="F95">
        <f>IF(C95="","",IFERROR(IF(VALUE(LEFT(Customer_Profile!$B$19,FIND("-",Customer_Profile!$B$19&amp;"-")-1))&lt;=Installer_Database!J95,15,IF(VALUE(LEFT(Customer_Profile!$B$19,FIND("-",Customer_Profile!$B$19&amp;"-")-1))&lt;=Installer_Database!J95*1.25,10,5)),8))</f>
        <v>5</v>
      </c>
      <c r="G95">
        <f>IF(C95="","",IF(Installer_Database!V95="Excellent",15,IF(Installer_Database!V95="Good",12,IF(Installer_Database!V95="Acceptable",8,IF(Installer_Database!V95="Weak",4,IF(Installer_Database!V95="Unverified",5,5))))))</f>
        <v>5</v>
      </c>
      <c r="H95">
        <f>IF(C95="","",IF(Installer_Database!K95="Strong",10,IF(Installer_Database!K95="Moderate",7,IF(Installer_Database!K95="Basic",4,IF(Installer_Database!K95="No",0,5)))))</f>
        <v>5</v>
      </c>
      <c r="I95">
        <f>IF(C95="","",IF(Installer_Database!W95="Excellent",10,IF(Installer_Database!W95="Good",8,IF(Installer_Database!W95="Acceptable",5,IF(Installer_Database!W95="Weak",2,IF(Installer_Database!W95="Unverified",4,4))))))</f>
        <v>4</v>
      </c>
      <c r="J95">
        <f>IF(C95="","",IF(Installer_Database!S95="Excellent",10,IF(Installer_Database!S95="Good",8,IF(Installer_Database!S95="Acceptable",5,IF(Installer_Database!S95="Weak",2,IF(Installer_Database!S95="Unverified",4,IF(Installer_Database!S95="Strong",10,IF(Installer_Database!S95="Basic",5,4))))))))</f>
        <v>4</v>
      </c>
      <c r="K95">
        <f>IF(C95="","",IF(Installer_Database!T95="Same day",5,IF(Installer_Database!T95="24-48 hours",4,IF(Installer_Database!T95="2-3 days",3,IF(Installer_Database!T95="Slow",1,2)))))</f>
        <v>2</v>
      </c>
      <c r="L95">
        <f>IF(C95="","",IF(Installer_Database!U95=Customer_Profile!$B$12,5,IF(OR(Installer_Database!U95="Mid-range",Customer_Profile!$B$12="Unknown"),3,1)))</f>
        <v>1</v>
      </c>
      <c r="M95" s="47">
        <f t="shared" si="6"/>
        <v>26</v>
      </c>
      <c r="N95" s="47">
        <f>100</f>
        <v>100</v>
      </c>
      <c r="O95" s="35">
        <f t="shared" si="7"/>
        <v>0.26</v>
      </c>
      <c r="P95" t="str">
        <f t="shared" si="8"/>
        <v>Do Not Recommend</v>
      </c>
      <c r="Q95" t="str">
        <f t="shared" si="9"/>
        <v>No</v>
      </c>
      <c r="R95" t="str">
        <f t="shared" si="10"/>
        <v/>
      </c>
      <c r="S95">
        <f>IF(C95="","",Installer_Database!Z95)</f>
        <v>0</v>
      </c>
      <c r="T95">
        <f t="shared" si="11"/>
        <v>7</v>
      </c>
    </row>
    <row r="96" spans="1:20">
      <c r="A96" t="str">
        <f>[1]Installer_Database!A96</f>
        <v>INST-092</v>
      </c>
      <c r="B96">
        <f>Installer_Database!Y96</f>
        <v>0</v>
      </c>
      <c r="C96">
        <f>Installer_Database!B96</f>
        <v>0</v>
      </c>
      <c r="D96">
        <f>IF(C96="","",IF(ISNUMBER(SEARCH(Customer_Profile!$B$11,Installer_Database!G96)),15,IF(ISNUMBER(SEARCH(Customer_Profile!$B$10,Installer_Database!F96)),12,IF(ISNUMBER(SEARCH("National",Installer_Database!F96)),7,0))))</f>
        <v>0</v>
      </c>
      <c r="E96">
        <f>IF(C96="","",IF(ISNUMBER(SEARCH(Customer_Profile!$B$8,Installer_Database!H96)),15,IF(OR(AND(Customer_Profile!$B$8="Hospital",ISNUMBER(SEARCH("Commercial",Installer_Database!H96))),AND(Customer_Profile!$B$8="Hotel",ISNUMBER(SEARCH("Commercial",Installer_Database!H96))),AND(Customer_Profile!$B$8="School",ISNUMBER(SEARCH("Commercial",Installer_Database!H96)))),8,0)))</f>
        <v>0</v>
      </c>
      <c r="F96">
        <f>IF(C96="","",IFERROR(IF(VALUE(LEFT(Customer_Profile!$B$19,FIND("-",Customer_Profile!$B$19&amp;"-")-1))&lt;=Installer_Database!J96,15,IF(VALUE(LEFT(Customer_Profile!$B$19,FIND("-",Customer_Profile!$B$19&amp;"-")-1))&lt;=Installer_Database!J96*1.25,10,5)),8))</f>
        <v>5</v>
      </c>
      <c r="G96">
        <f>IF(C96="","",IF(Installer_Database!V96="Excellent",15,IF(Installer_Database!V96="Good",12,IF(Installer_Database!V96="Acceptable",8,IF(Installer_Database!V96="Weak",4,IF(Installer_Database!V96="Unverified",5,5))))))</f>
        <v>5</v>
      </c>
      <c r="H96">
        <f>IF(C96="","",IF(Installer_Database!K96="Strong",10,IF(Installer_Database!K96="Moderate",7,IF(Installer_Database!K96="Basic",4,IF(Installer_Database!K96="No",0,5)))))</f>
        <v>5</v>
      </c>
      <c r="I96">
        <f>IF(C96="","",IF(Installer_Database!W96="Excellent",10,IF(Installer_Database!W96="Good",8,IF(Installer_Database!W96="Acceptable",5,IF(Installer_Database!W96="Weak",2,IF(Installer_Database!W96="Unverified",4,4))))))</f>
        <v>4</v>
      </c>
      <c r="J96">
        <f>IF(C96="","",IF(Installer_Database!S96="Excellent",10,IF(Installer_Database!S96="Good",8,IF(Installer_Database!S96="Acceptable",5,IF(Installer_Database!S96="Weak",2,IF(Installer_Database!S96="Unverified",4,IF(Installer_Database!S96="Strong",10,IF(Installer_Database!S96="Basic",5,4))))))))</f>
        <v>4</v>
      </c>
      <c r="K96">
        <f>IF(C96="","",IF(Installer_Database!T96="Same day",5,IF(Installer_Database!T96="24-48 hours",4,IF(Installer_Database!T96="2-3 days",3,IF(Installer_Database!T96="Slow",1,2)))))</f>
        <v>2</v>
      </c>
      <c r="L96">
        <f>IF(C96="","",IF(Installer_Database!U96=Customer_Profile!$B$12,5,IF(OR(Installer_Database!U96="Mid-range",Customer_Profile!$B$12="Unknown"),3,1)))</f>
        <v>1</v>
      </c>
      <c r="M96" s="47">
        <f t="shared" si="6"/>
        <v>26</v>
      </c>
      <c r="N96" s="47">
        <f>100</f>
        <v>100</v>
      </c>
      <c r="O96" s="35">
        <f t="shared" si="7"/>
        <v>0.26</v>
      </c>
      <c r="P96" t="str">
        <f t="shared" si="8"/>
        <v>Do Not Recommend</v>
      </c>
      <c r="Q96" t="str">
        <f t="shared" si="9"/>
        <v>No</v>
      </c>
      <c r="R96" t="str">
        <f t="shared" si="10"/>
        <v/>
      </c>
      <c r="S96">
        <f>IF(C96="","",Installer_Database!Z96)</f>
        <v>0</v>
      </c>
      <c r="T96">
        <f t="shared" si="11"/>
        <v>7</v>
      </c>
    </row>
    <row r="97" spans="1:20">
      <c r="A97" t="str">
        <f>[1]Installer_Database!A97</f>
        <v>INST-093</v>
      </c>
      <c r="B97">
        <f>Installer_Database!Y97</f>
        <v>0</v>
      </c>
      <c r="C97">
        <f>Installer_Database!B97</f>
        <v>0</v>
      </c>
      <c r="D97">
        <f>IF(C97="","",IF(ISNUMBER(SEARCH(Customer_Profile!$B$11,Installer_Database!G97)),15,IF(ISNUMBER(SEARCH(Customer_Profile!$B$10,Installer_Database!F97)),12,IF(ISNUMBER(SEARCH("National",Installer_Database!F97)),7,0))))</f>
        <v>0</v>
      </c>
      <c r="E97">
        <f>IF(C97="","",IF(ISNUMBER(SEARCH(Customer_Profile!$B$8,Installer_Database!H97)),15,IF(OR(AND(Customer_Profile!$B$8="Hospital",ISNUMBER(SEARCH("Commercial",Installer_Database!H97))),AND(Customer_Profile!$B$8="Hotel",ISNUMBER(SEARCH("Commercial",Installer_Database!H97))),AND(Customer_Profile!$B$8="School",ISNUMBER(SEARCH("Commercial",Installer_Database!H97)))),8,0)))</f>
        <v>0</v>
      </c>
      <c r="F97">
        <f>IF(C97="","",IFERROR(IF(VALUE(LEFT(Customer_Profile!$B$19,FIND("-",Customer_Profile!$B$19&amp;"-")-1))&lt;=Installer_Database!J97,15,IF(VALUE(LEFT(Customer_Profile!$B$19,FIND("-",Customer_Profile!$B$19&amp;"-")-1))&lt;=Installer_Database!J97*1.25,10,5)),8))</f>
        <v>5</v>
      </c>
      <c r="G97">
        <f>IF(C97="","",IF(Installer_Database!V97="Excellent",15,IF(Installer_Database!V97="Good",12,IF(Installer_Database!V97="Acceptable",8,IF(Installer_Database!V97="Weak",4,IF(Installer_Database!V97="Unverified",5,5))))))</f>
        <v>5</v>
      </c>
      <c r="H97">
        <f>IF(C97="","",IF(Installer_Database!K97="Strong",10,IF(Installer_Database!K97="Moderate",7,IF(Installer_Database!K97="Basic",4,IF(Installer_Database!K97="No",0,5)))))</f>
        <v>5</v>
      </c>
      <c r="I97">
        <f>IF(C97="","",IF(Installer_Database!W97="Excellent",10,IF(Installer_Database!W97="Good",8,IF(Installer_Database!W97="Acceptable",5,IF(Installer_Database!W97="Weak",2,IF(Installer_Database!W97="Unverified",4,4))))))</f>
        <v>4</v>
      </c>
      <c r="J97">
        <f>IF(C97="","",IF(Installer_Database!S97="Excellent",10,IF(Installer_Database!S97="Good",8,IF(Installer_Database!S97="Acceptable",5,IF(Installer_Database!S97="Weak",2,IF(Installer_Database!S97="Unverified",4,IF(Installer_Database!S97="Strong",10,IF(Installer_Database!S97="Basic",5,4))))))))</f>
        <v>4</v>
      </c>
      <c r="K97">
        <f>IF(C97="","",IF(Installer_Database!T97="Same day",5,IF(Installer_Database!T97="24-48 hours",4,IF(Installer_Database!T97="2-3 days",3,IF(Installer_Database!T97="Slow",1,2)))))</f>
        <v>2</v>
      </c>
      <c r="L97">
        <f>IF(C97="","",IF(Installer_Database!U97=Customer_Profile!$B$12,5,IF(OR(Installer_Database!U97="Mid-range",Customer_Profile!$B$12="Unknown"),3,1)))</f>
        <v>1</v>
      </c>
      <c r="M97" s="47">
        <f t="shared" si="6"/>
        <v>26</v>
      </c>
      <c r="N97" s="47">
        <f>100</f>
        <v>100</v>
      </c>
      <c r="O97" s="35">
        <f t="shared" si="7"/>
        <v>0.26</v>
      </c>
      <c r="P97" t="str">
        <f t="shared" si="8"/>
        <v>Do Not Recommend</v>
      </c>
      <c r="Q97" t="str">
        <f t="shared" si="9"/>
        <v>No</v>
      </c>
      <c r="R97" t="str">
        <f t="shared" si="10"/>
        <v/>
      </c>
      <c r="S97">
        <f>IF(C97="","",Installer_Database!Z97)</f>
        <v>0</v>
      </c>
      <c r="T97">
        <f t="shared" si="11"/>
        <v>7</v>
      </c>
    </row>
    <row r="98" spans="1:20">
      <c r="A98" t="str">
        <f>[1]Installer_Database!A98</f>
        <v>INST-094</v>
      </c>
      <c r="B98">
        <f>Installer_Database!Y98</f>
        <v>0</v>
      </c>
      <c r="C98">
        <f>Installer_Database!B98</f>
        <v>0</v>
      </c>
      <c r="D98">
        <f>IF(C98="","",IF(ISNUMBER(SEARCH(Customer_Profile!$B$11,Installer_Database!G98)),15,IF(ISNUMBER(SEARCH(Customer_Profile!$B$10,Installer_Database!F98)),12,IF(ISNUMBER(SEARCH("National",Installer_Database!F98)),7,0))))</f>
        <v>0</v>
      </c>
      <c r="E98">
        <f>IF(C98="","",IF(ISNUMBER(SEARCH(Customer_Profile!$B$8,Installer_Database!H98)),15,IF(OR(AND(Customer_Profile!$B$8="Hospital",ISNUMBER(SEARCH("Commercial",Installer_Database!H98))),AND(Customer_Profile!$B$8="Hotel",ISNUMBER(SEARCH("Commercial",Installer_Database!H98))),AND(Customer_Profile!$B$8="School",ISNUMBER(SEARCH("Commercial",Installer_Database!H98)))),8,0)))</f>
        <v>0</v>
      </c>
      <c r="F98">
        <f>IF(C98="","",IFERROR(IF(VALUE(LEFT(Customer_Profile!$B$19,FIND("-",Customer_Profile!$B$19&amp;"-")-1))&lt;=Installer_Database!J98,15,IF(VALUE(LEFT(Customer_Profile!$B$19,FIND("-",Customer_Profile!$B$19&amp;"-")-1))&lt;=Installer_Database!J98*1.25,10,5)),8))</f>
        <v>5</v>
      </c>
      <c r="G98">
        <f>IF(C98="","",IF(Installer_Database!V98="Excellent",15,IF(Installer_Database!V98="Good",12,IF(Installer_Database!V98="Acceptable",8,IF(Installer_Database!V98="Weak",4,IF(Installer_Database!V98="Unverified",5,5))))))</f>
        <v>5</v>
      </c>
      <c r="H98">
        <f>IF(C98="","",IF(Installer_Database!K98="Strong",10,IF(Installer_Database!K98="Moderate",7,IF(Installer_Database!K98="Basic",4,IF(Installer_Database!K98="No",0,5)))))</f>
        <v>5</v>
      </c>
      <c r="I98">
        <f>IF(C98="","",IF(Installer_Database!W98="Excellent",10,IF(Installer_Database!W98="Good",8,IF(Installer_Database!W98="Acceptable",5,IF(Installer_Database!W98="Weak",2,IF(Installer_Database!W98="Unverified",4,4))))))</f>
        <v>4</v>
      </c>
      <c r="J98">
        <f>IF(C98="","",IF(Installer_Database!S98="Excellent",10,IF(Installer_Database!S98="Good",8,IF(Installer_Database!S98="Acceptable",5,IF(Installer_Database!S98="Weak",2,IF(Installer_Database!S98="Unverified",4,IF(Installer_Database!S98="Strong",10,IF(Installer_Database!S98="Basic",5,4))))))))</f>
        <v>4</v>
      </c>
      <c r="K98">
        <f>IF(C98="","",IF(Installer_Database!T98="Same day",5,IF(Installer_Database!T98="24-48 hours",4,IF(Installer_Database!T98="2-3 days",3,IF(Installer_Database!T98="Slow",1,2)))))</f>
        <v>2</v>
      </c>
      <c r="L98">
        <f>IF(C98="","",IF(Installer_Database!U98=Customer_Profile!$B$12,5,IF(OR(Installer_Database!U98="Mid-range",Customer_Profile!$B$12="Unknown"),3,1)))</f>
        <v>1</v>
      </c>
      <c r="M98" s="47">
        <f t="shared" si="6"/>
        <v>26</v>
      </c>
      <c r="N98" s="47">
        <f>100</f>
        <v>100</v>
      </c>
      <c r="O98" s="35">
        <f t="shared" si="7"/>
        <v>0.26</v>
      </c>
      <c r="P98" t="str">
        <f t="shared" si="8"/>
        <v>Do Not Recommend</v>
      </c>
      <c r="Q98" t="str">
        <f t="shared" si="9"/>
        <v>No</v>
      </c>
      <c r="R98" t="str">
        <f t="shared" si="10"/>
        <v/>
      </c>
      <c r="S98">
        <f>IF(C98="","",Installer_Database!Z98)</f>
        <v>0</v>
      </c>
      <c r="T98">
        <f t="shared" si="11"/>
        <v>7</v>
      </c>
    </row>
    <row r="99" spans="1:20">
      <c r="A99" t="str">
        <f>[1]Installer_Database!A99</f>
        <v>INST-095</v>
      </c>
      <c r="B99">
        <f>Installer_Database!Y99</f>
        <v>0</v>
      </c>
      <c r="C99">
        <f>Installer_Database!B99</f>
        <v>0</v>
      </c>
      <c r="D99">
        <f>IF(C99="","",IF(ISNUMBER(SEARCH(Customer_Profile!$B$11,Installer_Database!G99)),15,IF(ISNUMBER(SEARCH(Customer_Profile!$B$10,Installer_Database!F99)),12,IF(ISNUMBER(SEARCH("National",Installer_Database!F99)),7,0))))</f>
        <v>0</v>
      </c>
      <c r="E99">
        <f>IF(C99="","",IF(ISNUMBER(SEARCH(Customer_Profile!$B$8,Installer_Database!H99)),15,IF(OR(AND(Customer_Profile!$B$8="Hospital",ISNUMBER(SEARCH("Commercial",Installer_Database!H99))),AND(Customer_Profile!$B$8="Hotel",ISNUMBER(SEARCH("Commercial",Installer_Database!H99))),AND(Customer_Profile!$B$8="School",ISNUMBER(SEARCH("Commercial",Installer_Database!H99)))),8,0)))</f>
        <v>0</v>
      </c>
      <c r="F99">
        <f>IF(C99="","",IFERROR(IF(VALUE(LEFT(Customer_Profile!$B$19,FIND("-",Customer_Profile!$B$19&amp;"-")-1))&lt;=Installer_Database!J99,15,IF(VALUE(LEFT(Customer_Profile!$B$19,FIND("-",Customer_Profile!$B$19&amp;"-")-1))&lt;=Installer_Database!J99*1.25,10,5)),8))</f>
        <v>5</v>
      </c>
      <c r="G99">
        <f>IF(C99="","",IF(Installer_Database!V99="Excellent",15,IF(Installer_Database!V99="Good",12,IF(Installer_Database!V99="Acceptable",8,IF(Installer_Database!V99="Weak",4,IF(Installer_Database!V99="Unverified",5,5))))))</f>
        <v>5</v>
      </c>
      <c r="H99">
        <f>IF(C99="","",IF(Installer_Database!K99="Strong",10,IF(Installer_Database!K99="Moderate",7,IF(Installer_Database!K99="Basic",4,IF(Installer_Database!K99="No",0,5)))))</f>
        <v>5</v>
      </c>
      <c r="I99">
        <f>IF(C99="","",IF(Installer_Database!W99="Excellent",10,IF(Installer_Database!W99="Good",8,IF(Installer_Database!W99="Acceptable",5,IF(Installer_Database!W99="Weak",2,IF(Installer_Database!W99="Unverified",4,4))))))</f>
        <v>4</v>
      </c>
      <c r="J99">
        <f>IF(C99="","",IF(Installer_Database!S99="Excellent",10,IF(Installer_Database!S99="Good",8,IF(Installer_Database!S99="Acceptable",5,IF(Installer_Database!S99="Weak",2,IF(Installer_Database!S99="Unverified",4,IF(Installer_Database!S99="Strong",10,IF(Installer_Database!S99="Basic",5,4))))))))</f>
        <v>4</v>
      </c>
      <c r="K99">
        <f>IF(C99="","",IF(Installer_Database!T99="Same day",5,IF(Installer_Database!T99="24-48 hours",4,IF(Installer_Database!T99="2-3 days",3,IF(Installer_Database!T99="Slow",1,2)))))</f>
        <v>2</v>
      </c>
      <c r="L99">
        <f>IF(C99="","",IF(Installer_Database!U99=Customer_Profile!$B$12,5,IF(OR(Installer_Database!U99="Mid-range",Customer_Profile!$B$12="Unknown"),3,1)))</f>
        <v>1</v>
      </c>
      <c r="M99" s="47">
        <f t="shared" si="6"/>
        <v>26</v>
      </c>
      <c r="N99" s="47">
        <f>100</f>
        <v>100</v>
      </c>
      <c r="O99" s="35">
        <f t="shared" si="7"/>
        <v>0.26</v>
      </c>
      <c r="P99" t="str">
        <f t="shared" si="8"/>
        <v>Do Not Recommend</v>
      </c>
      <c r="Q99" t="str">
        <f t="shared" si="9"/>
        <v>No</v>
      </c>
      <c r="R99" t="str">
        <f t="shared" si="10"/>
        <v/>
      </c>
      <c r="S99">
        <f>IF(C99="","",Installer_Database!Z99)</f>
        <v>0</v>
      </c>
      <c r="T99">
        <f t="shared" si="11"/>
        <v>7</v>
      </c>
    </row>
    <row r="100" spans="1:20">
      <c r="A100" t="str">
        <f>[1]Installer_Database!A100</f>
        <v>INST-096</v>
      </c>
      <c r="B100">
        <f>Installer_Database!Y100</f>
        <v>0</v>
      </c>
      <c r="C100">
        <f>Installer_Database!B100</f>
        <v>0</v>
      </c>
      <c r="D100">
        <f>IF(C100="","",IF(ISNUMBER(SEARCH(Customer_Profile!$B$11,Installer_Database!G100)),15,IF(ISNUMBER(SEARCH(Customer_Profile!$B$10,Installer_Database!F100)),12,IF(ISNUMBER(SEARCH("National",Installer_Database!F100)),7,0))))</f>
        <v>0</v>
      </c>
      <c r="E100">
        <f>IF(C100="","",IF(ISNUMBER(SEARCH(Customer_Profile!$B$8,Installer_Database!H100)),15,IF(OR(AND(Customer_Profile!$B$8="Hospital",ISNUMBER(SEARCH("Commercial",Installer_Database!H100))),AND(Customer_Profile!$B$8="Hotel",ISNUMBER(SEARCH("Commercial",Installer_Database!H100))),AND(Customer_Profile!$B$8="School",ISNUMBER(SEARCH("Commercial",Installer_Database!H100)))),8,0)))</f>
        <v>0</v>
      </c>
      <c r="F100">
        <f>IF(C100="","",IFERROR(IF(VALUE(LEFT(Customer_Profile!$B$19,FIND("-",Customer_Profile!$B$19&amp;"-")-1))&lt;=Installer_Database!J100,15,IF(VALUE(LEFT(Customer_Profile!$B$19,FIND("-",Customer_Profile!$B$19&amp;"-")-1))&lt;=Installer_Database!J100*1.25,10,5)),8))</f>
        <v>5</v>
      </c>
      <c r="G100">
        <f>IF(C100="","",IF(Installer_Database!V100="Excellent",15,IF(Installer_Database!V100="Good",12,IF(Installer_Database!V100="Acceptable",8,IF(Installer_Database!V100="Weak",4,IF(Installer_Database!V100="Unverified",5,5))))))</f>
        <v>5</v>
      </c>
      <c r="H100">
        <f>IF(C100="","",IF(Installer_Database!K100="Strong",10,IF(Installer_Database!K100="Moderate",7,IF(Installer_Database!K100="Basic",4,IF(Installer_Database!K100="No",0,5)))))</f>
        <v>5</v>
      </c>
      <c r="I100">
        <f>IF(C100="","",IF(Installer_Database!W100="Excellent",10,IF(Installer_Database!W100="Good",8,IF(Installer_Database!W100="Acceptable",5,IF(Installer_Database!W100="Weak",2,IF(Installer_Database!W100="Unverified",4,4))))))</f>
        <v>4</v>
      </c>
      <c r="J100">
        <f>IF(C100="","",IF(Installer_Database!S100="Excellent",10,IF(Installer_Database!S100="Good",8,IF(Installer_Database!S100="Acceptable",5,IF(Installer_Database!S100="Weak",2,IF(Installer_Database!S100="Unverified",4,IF(Installer_Database!S100="Strong",10,IF(Installer_Database!S100="Basic",5,4))))))))</f>
        <v>4</v>
      </c>
      <c r="K100">
        <f>IF(C100="","",IF(Installer_Database!T100="Same day",5,IF(Installer_Database!T100="24-48 hours",4,IF(Installer_Database!T100="2-3 days",3,IF(Installer_Database!T100="Slow",1,2)))))</f>
        <v>2</v>
      </c>
      <c r="L100">
        <f>IF(C100="","",IF(Installer_Database!U100=Customer_Profile!$B$12,5,IF(OR(Installer_Database!U100="Mid-range",Customer_Profile!$B$12="Unknown"),3,1)))</f>
        <v>1</v>
      </c>
      <c r="M100" s="47">
        <f t="shared" si="6"/>
        <v>26</v>
      </c>
      <c r="N100" s="47">
        <f>100</f>
        <v>100</v>
      </c>
      <c r="O100" s="35">
        <f t="shared" si="7"/>
        <v>0.26</v>
      </c>
      <c r="P100" t="str">
        <f t="shared" si="8"/>
        <v>Do Not Recommend</v>
      </c>
      <c r="Q100" t="str">
        <f t="shared" si="9"/>
        <v>No</v>
      </c>
      <c r="R100" t="str">
        <f t="shared" si="10"/>
        <v/>
      </c>
      <c r="S100">
        <f>IF(C100="","",Installer_Database!Z100)</f>
        <v>0</v>
      </c>
      <c r="T100">
        <f t="shared" si="11"/>
        <v>7</v>
      </c>
    </row>
    <row r="101" spans="1:20">
      <c r="A101" t="str">
        <f>[1]Installer_Database!A101</f>
        <v>INST-097</v>
      </c>
      <c r="B101">
        <f>Installer_Database!Y101</f>
        <v>0</v>
      </c>
      <c r="C101">
        <f>Installer_Database!B101</f>
        <v>0</v>
      </c>
      <c r="D101">
        <f>IF(C101="","",IF(ISNUMBER(SEARCH(Customer_Profile!$B$11,Installer_Database!G101)),15,IF(ISNUMBER(SEARCH(Customer_Profile!$B$10,Installer_Database!F101)),12,IF(ISNUMBER(SEARCH("National",Installer_Database!F101)),7,0))))</f>
        <v>0</v>
      </c>
      <c r="E101">
        <f>IF(C101="","",IF(ISNUMBER(SEARCH(Customer_Profile!$B$8,Installer_Database!H101)),15,IF(OR(AND(Customer_Profile!$B$8="Hospital",ISNUMBER(SEARCH("Commercial",Installer_Database!H101))),AND(Customer_Profile!$B$8="Hotel",ISNUMBER(SEARCH("Commercial",Installer_Database!H101))),AND(Customer_Profile!$B$8="School",ISNUMBER(SEARCH("Commercial",Installer_Database!H101)))),8,0)))</f>
        <v>0</v>
      </c>
      <c r="F101">
        <f>IF(C101="","",IFERROR(IF(VALUE(LEFT(Customer_Profile!$B$19,FIND("-",Customer_Profile!$B$19&amp;"-")-1))&lt;=Installer_Database!J101,15,IF(VALUE(LEFT(Customer_Profile!$B$19,FIND("-",Customer_Profile!$B$19&amp;"-")-1))&lt;=Installer_Database!J101*1.25,10,5)),8))</f>
        <v>5</v>
      </c>
      <c r="G101">
        <f>IF(C101="","",IF(Installer_Database!V101="Excellent",15,IF(Installer_Database!V101="Good",12,IF(Installer_Database!V101="Acceptable",8,IF(Installer_Database!V101="Weak",4,IF(Installer_Database!V101="Unverified",5,5))))))</f>
        <v>5</v>
      </c>
      <c r="H101">
        <f>IF(C101="","",IF(Installer_Database!K101="Strong",10,IF(Installer_Database!K101="Moderate",7,IF(Installer_Database!K101="Basic",4,IF(Installer_Database!K101="No",0,5)))))</f>
        <v>5</v>
      </c>
      <c r="I101">
        <f>IF(C101="","",IF(Installer_Database!W101="Excellent",10,IF(Installer_Database!W101="Good",8,IF(Installer_Database!W101="Acceptable",5,IF(Installer_Database!W101="Weak",2,IF(Installer_Database!W101="Unverified",4,4))))))</f>
        <v>4</v>
      </c>
      <c r="J101">
        <f>IF(C101="","",IF(Installer_Database!S101="Excellent",10,IF(Installer_Database!S101="Good",8,IF(Installer_Database!S101="Acceptable",5,IF(Installer_Database!S101="Weak",2,IF(Installer_Database!S101="Unverified",4,IF(Installer_Database!S101="Strong",10,IF(Installer_Database!S101="Basic",5,4))))))))</f>
        <v>4</v>
      </c>
      <c r="K101">
        <f>IF(C101="","",IF(Installer_Database!T101="Same day",5,IF(Installer_Database!T101="24-48 hours",4,IF(Installer_Database!T101="2-3 days",3,IF(Installer_Database!T101="Slow",1,2)))))</f>
        <v>2</v>
      </c>
      <c r="L101">
        <f>IF(C101="","",IF(Installer_Database!U101=Customer_Profile!$B$12,5,IF(OR(Installer_Database!U101="Mid-range",Customer_Profile!$B$12="Unknown"),3,1)))</f>
        <v>1</v>
      </c>
      <c r="M101" s="47">
        <f t="shared" si="6"/>
        <v>26</v>
      </c>
      <c r="N101" s="47">
        <f>100</f>
        <v>100</v>
      </c>
      <c r="O101" s="35">
        <f t="shared" si="7"/>
        <v>0.26</v>
      </c>
      <c r="P101" t="str">
        <f t="shared" si="8"/>
        <v>Do Not Recommend</v>
      </c>
      <c r="Q101" t="str">
        <f t="shared" si="9"/>
        <v>No</v>
      </c>
      <c r="R101" t="str">
        <f t="shared" si="10"/>
        <v/>
      </c>
      <c r="S101">
        <f>IF(C101="","",Installer_Database!Z101)</f>
        <v>0</v>
      </c>
      <c r="T101">
        <f t="shared" si="11"/>
        <v>7</v>
      </c>
    </row>
    <row r="102" spans="1:20">
      <c r="A102" t="str">
        <f>[1]Installer_Database!A102</f>
        <v>INST-098</v>
      </c>
      <c r="B102">
        <f>Installer_Database!Y102</f>
        <v>0</v>
      </c>
      <c r="C102">
        <f>Installer_Database!B102</f>
        <v>0</v>
      </c>
      <c r="D102">
        <f>IF(C102="","",IF(ISNUMBER(SEARCH(Customer_Profile!$B$11,Installer_Database!G102)),15,IF(ISNUMBER(SEARCH(Customer_Profile!$B$10,Installer_Database!F102)),12,IF(ISNUMBER(SEARCH("National",Installer_Database!F102)),7,0))))</f>
        <v>0</v>
      </c>
      <c r="E102">
        <f>IF(C102="","",IF(ISNUMBER(SEARCH(Customer_Profile!$B$8,Installer_Database!H102)),15,IF(OR(AND(Customer_Profile!$B$8="Hospital",ISNUMBER(SEARCH("Commercial",Installer_Database!H102))),AND(Customer_Profile!$B$8="Hotel",ISNUMBER(SEARCH("Commercial",Installer_Database!H102))),AND(Customer_Profile!$B$8="School",ISNUMBER(SEARCH("Commercial",Installer_Database!H102)))),8,0)))</f>
        <v>0</v>
      </c>
      <c r="F102">
        <f>IF(C102="","",IFERROR(IF(VALUE(LEFT(Customer_Profile!$B$19,FIND("-",Customer_Profile!$B$19&amp;"-")-1))&lt;=Installer_Database!J102,15,IF(VALUE(LEFT(Customer_Profile!$B$19,FIND("-",Customer_Profile!$B$19&amp;"-")-1))&lt;=Installer_Database!J102*1.25,10,5)),8))</f>
        <v>5</v>
      </c>
      <c r="G102">
        <f>IF(C102="","",IF(Installer_Database!V102="Excellent",15,IF(Installer_Database!V102="Good",12,IF(Installer_Database!V102="Acceptable",8,IF(Installer_Database!V102="Weak",4,IF(Installer_Database!V102="Unverified",5,5))))))</f>
        <v>5</v>
      </c>
      <c r="H102">
        <f>IF(C102="","",IF(Installer_Database!K102="Strong",10,IF(Installer_Database!K102="Moderate",7,IF(Installer_Database!K102="Basic",4,IF(Installer_Database!K102="No",0,5)))))</f>
        <v>5</v>
      </c>
      <c r="I102">
        <f>IF(C102="","",IF(Installer_Database!W102="Excellent",10,IF(Installer_Database!W102="Good",8,IF(Installer_Database!W102="Acceptable",5,IF(Installer_Database!W102="Weak",2,IF(Installer_Database!W102="Unverified",4,4))))))</f>
        <v>4</v>
      </c>
      <c r="J102">
        <f>IF(C102="","",IF(Installer_Database!S102="Excellent",10,IF(Installer_Database!S102="Good",8,IF(Installer_Database!S102="Acceptable",5,IF(Installer_Database!S102="Weak",2,IF(Installer_Database!S102="Unverified",4,IF(Installer_Database!S102="Strong",10,IF(Installer_Database!S102="Basic",5,4))))))))</f>
        <v>4</v>
      </c>
      <c r="K102">
        <f>IF(C102="","",IF(Installer_Database!T102="Same day",5,IF(Installer_Database!T102="24-48 hours",4,IF(Installer_Database!T102="2-3 days",3,IF(Installer_Database!T102="Slow",1,2)))))</f>
        <v>2</v>
      </c>
      <c r="L102">
        <f>IF(C102="","",IF(Installer_Database!U102=Customer_Profile!$B$12,5,IF(OR(Installer_Database!U102="Mid-range",Customer_Profile!$B$12="Unknown"),3,1)))</f>
        <v>1</v>
      </c>
      <c r="M102" s="47">
        <f t="shared" ref="M102:M104" si="12">IF(C102="","",SUM(D102:L102))</f>
        <v>26</v>
      </c>
      <c r="N102" s="47">
        <f>100</f>
        <v>100</v>
      </c>
      <c r="O102" s="35">
        <f t="shared" ref="O102:O104" si="13">IF(C102="","",M102/N102)</f>
        <v>0.26</v>
      </c>
      <c r="P102" t="str">
        <f t="shared" ref="P102:P104" si="14">IF(C102="","",IF(O102&gt;=0.85,"Excellent Match",IF(O102&gt;=0.7,"Good Match",IF(O102&gt;=0.55,"Possible Match","Do Not Recommend"))))</f>
        <v>Do Not Recommend</v>
      </c>
      <c r="Q102" t="str">
        <f t="shared" ref="Q102:Q104" si="15">IF(C102="","",IF(AND(O102&gt;=0.7,OR(B102="Approved",B102="Preferred")),"Yes","No"))</f>
        <v>No</v>
      </c>
      <c r="R102" t="str">
        <f t="shared" si="10"/>
        <v/>
      </c>
      <c r="S102">
        <f>IF(C102="","",Installer_Database!Z102)</f>
        <v>0</v>
      </c>
      <c r="T102">
        <f t="shared" si="11"/>
        <v>7</v>
      </c>
    </row>
    <row r="103" spans="1:20">
      <c r="A103" t="str">
        <f>[1]Installer_Database!A103</f>
        <v>INST-099</v>
      </c>
      <c r="B103">
        <f>Installer_Database!Y103</f>
        <v>0</v>
      </c>
      <c r="C103">
        <f>Installer_Database!B103</f>
        <v>0</v>
      </c>
      <c r="D103">
        <f>IF(C103="","",IF(ISNUMBER(SEARCH(Customer_Profile!$B$11,Installer_Database!G103)),15,IF(ISNUMBER(SEARCH(Customer_Profile!$B$10,Installer_Database!F103)),12,IF(ISNUMBER(SEARCH("National",Installer_Database!F103)),7,0))))</f>
        <v>0</v>
      </c>
      <c r="E103">
        <f>IF(C103="","",IF(ISNUMBER(SEARCH(Customer_Profile!$B$8,Installer_Database!H103)),15,IF(OR(AND(Customer_Profile!$B$8="Hospital",ISNUMBER(SEARCH("Commercial",Installer_Database!H103))),AND(Customer_Profile!$B$8="Hotel",ISNUMBER(SEARCH("Commercial",Installer_Database!H103))),AND(Customer_Profile!$B$8="School",ISNUMBER(SEARCH("Commercial",Installer_Database!H103)))),8,0)))</f>
        <v>0</v>
      </c>
      <c r="F103">
        <f>IF(C103="","",IFERROR(IF(VALUE(LEFT(Customer_Profile!$B$19,FIND("-",Customer_Profile!$B$19&amp;"-")-1))&lt;=Installer_Database!J103,15,IF(VALUE(LEFT(Customer_Profile!$B$19,FIND("-",Customer_Profile!$B$19&amp;"-")-1))&lt;=Installer_Database!J103*1.25,10,5)),8))</f>
        <v>5</v>
      </c>
      <c r="G103">
        <f>IF(C103="","",IF(Installer_Database!V103="Excellent",15,IF(Installer_Database!V103="Good",12,IF(Installer_Database!V103="Acceptable",8,IF(Installer_Database!V103="Weak",4,IF(Installer_Database!V103="Unverified",5,5))))))</f>
        <v>5</v>
      </c>
      <c r="H103">
        <f>IF(C103="","",IF(Installer_Database!K103="Strong",10,IF(Installer_Database!K103="Moderate",7,IF(Installer_Database!K103="Basic",4,IF(Installer_Database!K103="No",0,5)))))</f>
        <v>5</v>
      </c>
      <c r="I103">
        <f>IF(C103="","",IF(Installer_Database!W103="Excellent",10,IF(Installer_Database!W103="Good",8,IF(Installer_Database!W103="Acceptable",5,IF(Installer_Database!W103="Weak",2,IF(Installer_Database!W103="Unverified",4,4))))))</f>
        <v>4</v>
      </c>
      <c r="J103">
        <f>IF(C103="","",IF(Installer_Database!S103="Excellent",10,IF(Installer_Database!S103="Good",8,IF(Installer_Database!S103="Acceptable",5,IF(Installer_Database!S103="Weak",2,IF(Installer_Database!S103="Unverified",4,IF(Installer_Database!S103="Strong",10,IF(Installer_Database!S103="Basic",5,4))))))))</f>
        <v>4</v>
      </c>
      <c r="K103">
        <f>IF(C103="","",IF(Installer_Database!T103="Same day",5,IF(Installer_Database!T103="24-48 hours",4,IF(Installer_Database!T103="2-3 days",3,IF(Installer_Database!T103="Slow",1,2)))))</f>
        <v>2</v>
      </c>
      <c r="L103">
        <f>IF(C103="","",IF(Installer_Database!U103=Customer_Profile!$B$12,5,IF(OR(Installer_Database!U103="Mid-range",Customer_Profile!$B$12="Unknown"),3,1)))</f>
        <v>1</v>
      </c>
      <c r="M103" s="47">
        <f t="shared" si="12"/>
        <v>26</v>
      </c>
      <c r="N103" s="47">
        <f>100</f>
        <v>100</v>
      </c>
      <c r="O103" s="35">
        <f t="shared" si="13"/>
        <v>0.26</v>
      </c>
      <c r="P103" t="str">
        <f t="shared" si="14"/>
        <v>Do Not Recommend</v>
      </c>
      <c r="Q103" t="str">
        <f t="shared" si="15"/>
        <v>No</v>
      </c>
      <c r="R103" t="str">
        <f t="shared" si="10"/>
        <v/>
      </c>
      <c r="S103">
        <f>IF(C103="","",Installer_Database!Z103)</f>
        <v>0</v>
      </c>
      <c r="T103">
        <f t="shared" si="11"/>
        <v>7</v>
      </c>
    </row>
    <row r="104" spans="1:20">
      <c r="A104" t="str">
        <f>[1]Installer_Database!A104</f>
        <v>INST-100</v>
      </c>
      <c r="B104">
        <f>Installer_Database!Y104</f>
        <v>0</v>
      </c>
      <c r="C104">
        <f>Installer_Database!B104</f>
        <v>0</v>
      </c>
      <c r="D104">
        <f>IF(C104="","",IF(ISNUMBER(SEARCH(Customer_Profile!$B$11,Installer_Database!G104)),15,IF(ISNUMBER(SEARCH(Customer_Profile!$B$10,Installer_Database!F104)),12,IF(ISNUMBER(SEARCH("National",Installer_Database!F104)),7,0))))</f>
        <v>0</v>
      </c>
      <c r="E104">
        <f>IF(C104="","",IF(ISNUMBER(SEARCH(Customer_Profile!$B$8,Installer_Database!H104)),15,IF(OR(AND(Customer_Profile!$B$8="Hospital",ISNUMBER(SEARCH("Commercial",Installer_Database!H104))),AND(Customer_Profile!$B$8="Hotel",ISNUMBER(SEARCH("Commercial",Installer_Database!H104))),AND(Customer_Profile!$B$8="School",ISNUMBER(SEARCH("Commercial",Installer_Database!H104)))),8,0)))</f>
        <v>0</v>
      </c>
      <c r="F104">
        <f>IF(C104="","",IFERROR(IF(VALUE(LEFT(Customer_Profile!$B$19,FIND("-",Customer_Profile!$B$19&amp;"-")-1))&lt;=Installer_Database!J104,15,IF(VALUE(LEFT(Customer_Profile!$B$19,FIND("-",Customer_Profile!$B$19&amp;"-")-1))&lt;=Installer_Database!J104*1.25,10,5)),8))</f>
        <v>5</v>
      </c>
      <c r="G104">
        <f>IF(C104="","",IF(Installer_Database!V104="Excellent",15,IF(Installer_Database!V104="Good",12,IF(Installer_Database!V104="Acceptable",8,IF(Installer_Database!V104="Weak",4,IF(Installer_Database!V104="Unverified",5,5))))))</f>
        <v>5</v>
      </c>
      <c r="H104">
        <f>IF(C104="","",IF(Installer_Database!K104="Strong",10,IF(Installer_Database!K104="Moderate",7,IF(Installer_Database!K104="Basic",4,IF(Installer_Database!K104="No",0,5)))))</f>
        <v>5</v>
      </c>
      <c r="I104">
        <f>IF(C104="","",IF(Installer_Database!W104="Excellent",10,IF(Installer_Database!W104="Good",8,IF(Installer_Database!W104="Acceptable",5,IF(Installer_Database!W104="Weak",2,IF(Installer_Database!W104="Unverified",4,4))))))</f>
        <v>4</v>
      </c>
      <c r="J104">
        <f>IF(C104="","",IF(Installer_Database!S104="Excellent",10,IF(Installer_Database!S104="Good",8,IF(Installer_Database!S104="Acceptable",5,IF(Installer_Database!S104="Weak",2,IF(Installer_Database!S104="Unverified",4,IF(Installer_Database!S104="Strong",10,IF(Installer_Database!S104="Basic",5,4))))))))</f>
        <v>4</v>
      </c>
      <c r="K104">
        <f>IF(C104="","",IF(Installer_Database!T104="Same day",5,IF(Installer_Database!T104="24-48 hours",4,IF(Installer_Database!T104="2-3 days",3,IF(Installer_Database!T104="Slow",1,2)))))</f>
        <v>2</v>
      </c>
      <c r="L104">
        <f>IF(C104="","",IF(Installer_Database!U104=Customer_Profile!$B$12,5,IF(OR(Installer_Database!U104="Mid-range",Customer_Profile!$B$12="Unknown"),3,1)))</f>
        <v>1</v>
      </c>
      <c r="M104" s="47">
        <f t="shared" si="12"/>
        <v>26</v>
      </c>
      <c r="N104" s="47">
        <f>100</f>
        <v>100</v>
      </c>
      <c r="O104" s="35">
        <f t="shared" si="13"/>
        <v>0.26</v>
      </c>
      <c r="P104" t="str">
        <f t="shared" si="14"/>
        <v>Do Not Recommend</v>
      </c>
      <c r="Q104" t="str">
        <f t="shared" si="15"/>
        <v>No</v>
      </c>
      <c r="R104" t="str">
        <f t="shared" si="10"/>
        <v/>
      </c>
      <c r="S104">
        <f>IF(C104="","",Installer_Database!Z104)</f>
        <v>0</v>
      </c>
      <c r="T104">
        <f t="shared" si="11"/>
        <v>7</v>
      </c>
    </row>
  </sheetData>
  <conditionalFormatting sqref="O5:O104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E98F-5080-4EE9-8D14-E99AC26B1383}">
  <sheetPr>
    <tabColor theme="6"/>
  </sheetPr>
  <dimension ref="A4:K20"/>
  <sheetViews>
    <sheetView workbookViewId="0">
      <selection activeCell="B20" sqref="B20"/>
    </sheetView>
  </sheetViews>
  <sheetFormatPr defaultRowHeight="15"/>
  <cols>
    <col min="1" max="1" width="19.5703125" customWidth="1"/>
    <col min="2" max="2" width="35.5703125" customWidth="1"/>
    <col min="3" max="3" width="17" customWidth="1"/>
    <col min="4" max="4" width="21.85546875" customWidth="1"/>
    <col min="5" max="5" width="25.85546875" customWidth="1"/>
    <col min="6" max="6" width="23.7109375" customWidth="1"/>
    <col min="7" max="7" width="42.5703125" customWidth="1"/>
    <col min="8" max="8" width="17.140625" customWidth="1"/>
    <col min="9" max="9" width="23.42578125" customWidth="1"/>
    <col min="10" max="10" width="26.7109375" customWidth="1"/>
    <col min="11" max="11" width="28.28515625" customWidth="1"/>
  </cols>
  <sheetData>
    <row r="4" spans="1:11" ht="30">
      <c r="A4" s="45" t="s">
        <v>676</v>
      </c>
      <c r="B4" s="45" t="s">
        <v>55</v>
      </c>
      <c r="C4" s="45" t="s">
        <v>677</v>
      </c>
    </row>
    <row r="5" spans="1:11">
      <c r="A5" t="s">
        <v>70</v>
      </c>
      <c r="B5" t="str">
        <f>Customer_Profile!B5</f>
        <v>SV-0001</v>
      </c>
      <c r="C5" t="str">
        <f>[1]Customer_Profile!B5</f>
        <v>SV-0001</v>
      </c>
    </row>
    <row r="6" spans="1:11">
      <c r="A6" t="s">
        <v>678</v>
      </c>
      <c r="B6" t="str">
        <f>Customer_Profile!B6</f>
        <v>John Peters</v>
      </c>
      <c r="C6" t="str">
        <f>[1]Customer_Profile!B6</f>
        <v>Example Customer</v>
      </c>
    </row>
    <row r="7" spans="1:11">
      <c r="A7" t="s">
        <v>424</v>
      </c>
      <c r="B7" t="str">
        <f>Customer_Profile!B7</f>
        <v>jpeters234@gmail.com</v>
      </c>
      <c r="C7" t="str">
        <f>Customer_Profile!B7</f>
        <v>jpeters234@gmail.com</v>
      </c>
    </row>
    <row r="8" spans="1:11">
      <c r="A8" t="s">
        <v>70</v>
      </c>
      <c r="B8" t="str">
        <f>Customer_Profile!B8</f>
        <v>Home</v>
      </c>
      <c r="C8" t="str">
        <f>Customer_Profile!B8</f>
        <v>Home</v>
      </c>
    </row>
    <row r="9" spans="1:11">
      <c r="A9" t="s">
        <v>680</v>
      </c>
      <c r="B9" s="49" t="str">
        <f>TEXT(Customer_Profile!B16,"0.0") &amp; " kWh/day"</f>
        <v>8.1 kWh/day</v>
      </c>
      <c r="C9" s="49" t="str">
        <f>TEXT(Customer_Profile!B16,"0.0") &amp; " kWh/day"</f>
        <v>8.1 kWh/day</v>
      </c>
    </row>
    <row r="10" spans="1:11">
      <c r="A10" t="s">
        <v>681</v>
      </c>
      <c r="B10" s="49" t="str">
        <f>TEXT(Customer_Profile!B17,"0.0") &amp; " kWp"</f>
        <v>2.0 kWp</v>
      </c>
      <c r="C10" s="49" t="str">
        <f>TEXT(Customer_Profile!B17,"0.0") &amp; " kWp"</f>
        <v>2.0 kWp</v>
      </c>
    </row>
    <row r="11" spans="1:11">
      <c r="A11" t="s">
        <v>682</v>
      </c>
      <c r="B11" s="49" t="str">
        <f>TEXT(Customer_Profile!B18,"0.0") &amp; " kWh"</f>
        <v>6.9 kWh</v>
      </c>
      <c r="C11" s="49" t="str">
        <f>TEXT(Customer_Profile!B18,"0.0") &amp; " kWh"</f>
        <v>6.9 kWh</v>
      </c>
    </row>
    <row r="12" spans="1:11">
      <c r="A12" t="s">
        <v>650</v>
      </c>
      <c r="B12" s="49" t="str">
        <f>TEXT(Customer_Profile!B19,"0.0") &amp; " kVA"</f>
        <v>2.9 kVA</v>
      </c>
      <c r="C12" s="49" t="str">
        <f>TEXT(Customer_Profile!B19,"0.0") &amp; " kVA"</f>
        <v>2.9 kVA</v>
      </c>
    </row>
    <row r="15" spans="1:11">
      <c r="A15" s="48" t="s">
        <v>683</v>
      </c>
      <c r="B15" s="48" t="s">
        <v>421</v>
      </c>
      <c r="C15" s="48" t="s">
        <v>671</v>
      </c>
      <c r="D15" s="48" t="s">
        <v>672</v>
      </c>
      <c r="E15" s="48" t="s">
        <v>684</v>
      </c>
      <c r="F15" s="48" t="s">
        <v>685</v>
      </c>
      <c r="G15" s="48" t="s">
        <v>686</v>
      </c>
      <c r="H15" s="48" t="s">
        <v>687</v>
      </c>
      <c r="I15" s="48" t="s">
        <v>688</v>
      </c>
      <c r="J15" s="48" t="s">
        <v>689</v>
      </c>
      <c r="K15" s="48" t="s">
        <v>690</v>
      </c>
    </row>
    <row r="16" spans="1:11">
      <c r="A16">
        <v>1</v>
      </c>
      <c r="B16" t="str">
        <f>IFERROR(INDEX(Match_Engine!$C$5:$C$104,MATCH(LARGE(Match_Engine!$O$5:$O$104,1),Match_Engine!$O$5:$O$104,0)),"")</f>
        <v>Lagos Hybrid Power Ltd</v>
      </c>
      <c r="C16" s="35">
        <f>IF(B16="","",INDEX(Match_Engine!$O$5:$O$104,MATCH(B16,[1]Match_Engine!$C$5:$C$104,0)))</f>
        <v>0.97</v>
      </c>
      <c r="D16" t="str">
        <f>IF(B16="","",INDEX(Match_Engine!$P$5:$P$104,MATCH(B16,[1]Match_Engine!$C$5:$C$104,0)))</f>
        <v>Excellent Match</v>
      </c>
      <c r="E16" t="str">
        <f>IF(B16="","",Customer_Profile!$B$8&amp;" projects")</f>
        <v>Home projects</v>
      </c>
      <c r="F16" t="str">
        <f>IF(B16="","",INDEX([1]Installer_Database!$F$5:$F$104,MATCH(B16,[1]Installer_Database!$B$5:$B$104,0)))</f>
        <v>Lagos</v>
      </c>
      <c r="G16" t="str">
        <f>IF(B16="","",INDEX(Match_Engine!$R$5:$R$104,MATCH(B16,[1]Match_Engine!$C$5:$C$104,0)))</f>
        <v>serves your location; experienced in your project type; good battery/hybrid capability; strong after-sales support</v>
      </c>
      <c r="H16" t="str">
        <f>IF(B16="","",INDEX([1]Installer_Database!$U$5:$U$104,MATCH(B16,[1]Installer_Database!$B$5:$B$104,0)))</f>
        <v>Mid-range</v>
      </c>
      <c r="I16" t="str">
        <f>IF(B16="","",INDEX([1]Installer_Database!$T$5:$T$104,MATCH(B16,[1]Installer_Database!$B$5:$B$104,0)))</f>
        <v>Same day</v>
      </c>
      <c r="J16" t="s">
        <v>691</v>
      </c>
      <c r="K16" t="s">
        <v>692</v>
      </c>
    </row>
    <row r="17" spans="1:11">
      <c r="A17">
        <v>2</v>
      </c>
      <c r="B17" t="str">
        <f>IFERROR(INDEX(Match_Engine!$C$5:$C$104,MATCH(LARGE(Match_Engine!$O$5:$O$104,2),Match_Engine!$O$5:$O$104,0)),"")</f>
        <v>Abuja SolarCare Engineering</v>
      </c>
      <c r="C17" s="35">
        <f>IF(B17="","",INDEX(Match_Engine!$O$5:$O$104,MATCH(B17,[1]Match_Engine!$C$5:$C$104,0)))</f>
        <v>0.93</v>
      </c>
      <c r="D17" t="str">
        <f>IF(B17="","",INDEX(Match_Engine!$P$5:$P$104,MATCH(B17,[1]Match_Engine!$C$5:$C$104,0)))</f>
        <v>Excellent Match</v>
      </c>
      <c r="E17" t="str">
        <f>IF(B17="","",Customer_Profile!$B$8&amp;" projects")</f>
        <v>Home projects</v>
      </c>
      <c r="F17" t="str">
        <f>IF(B17="","",INDEX([1]Installer_Database!$F$5:$F$104,MATCH(B17,[1]Installer_Database!$B$5:$B$104,0)))</f>
        <v>Abuja FCT</v>
      </c>
      <c r="G17" t="str">
        <f>IF(B17="","",INDEX(Match_Engine!$R$5:$R$104,MATCH(B17,[1]Match_Engine!$C$5:$C$104,0)))</f>
        <v>serves your location; experienced in your project type; good battery/hybrid capability; strong after-sales support</v>
      </c>
      <c r="H17" t="str">
        <f>IF(B17="","",INDEX([1]Installer_Database!$U$5:$U$104,MATCH(B17,[1]Installer_Database!$B$5:$B$104,0)))</f>
        <v>Premium</v>
      </c>
      <c r="I17" t="str">
        <f>IF(B17="","",INDEX([1]Installer_Database!$T$5:$T$104,MATCH(B17,[1]Installer_Database!$B$5:$B$104,0)))</f>
        <v>24-48 hours</v>
      </c>
      <c r="J17" t="s">
        <v>691</v>
      </c>
      <c r="K17" t="s">
        <v>692</v>
      </c>
    </row>
    <row r="18" spans="1:11">
      <c r="A18">
        <v>3</v>
      </c>
      <c r="B18" t="str">
        <f>IFERROR(INDEX(Match_Engine!$C$5:$C$104,MATCH(LARGE(Match_Engine!$O$5:$O$104,3),Match_Engine!$O$5:$O$104,0)),"")</f>
        <v>Rivers Reliable Solar</v>
      </c>
      <c r="C18" s="35">
        <f>IF(B18="","",INDEX(Match_Engine!$O$5:$O$104,MATCH(B18,[1]Match_Engine!$C$5:$C$104,0)))</f>
        <v>0.92</v>
      </c>
      <c r="D18" t="str">
        <f>IF(B18="","",INDEX(Match_Engine!$P$5:$P$104,MATCH(B18,[1]Match_Engine!$C$5:$C$104,0)))</f>
        <v>Excellent Match</v>
      </c>
      <c r="E18" t="str">
        <f>IF(B18="","",Customer_Profile!$B$8&amp;" projects")</f>
        <v>Home projects</v>
      </c>
      <c r="F18" t="str">
        <f>IF(B18="","",INDEX([1]Installer_Database!$F$5:$F$104,MATCH(B18,[1]Installer_Database!$B$5:$B$104,0)))</f>
        <v>Rivers; Akwa Ibom</v>
      </c>
      <c r="G18" t="str">
        <f>IF(B18="","",INDEX(Match_Engine!$R$5:$R$104,MATCH(B18,[1]Match_Engine!$C$5:$C$104,0)))</f>
        <v>serves your location; experienced in your project type; good battery/hybrid capability; strong after-sales support</v>
      </c>
      <c r="H18" t="str">
        <f>IF(B18="","",INDEX([1]Installer_Database!$U$5:$U$104,MATCH(B18,[1]Installer_Database!$B$5:$B$104,0)))</f>
        <v>Mid-range</v>
      </c>
      <c r="I18" t="str">
        <f>IF(B18="","",INDEX([1]Installer_Database!$T$5:$T$104,MATCH(B18,[1]Installer_Database!$B$5:$B$104,0)))</f>
        <v>24-48 hours</v>
      </c>
      <c r="J18" t="s">
        <v>691</v>
      </c>
      <c r="K18" t="s">
        <v>692</v>
      </c>
    </row>
    <row r="19" spans="1:11">
      <c r="A19">
        <v>4</v>
      </c>
      <c r="B19" t="str">
        <f>IFERROR(INDEX(Match_Engine!$C$5:$C$104,MATCH(LARGE(Match_Engine!$O$5:$O$104,4),Match_Engine!$O$5:$O$104,0)),"")</f>
        <v>Prime Critical Power Systems</v>
      </c>
      <c r="C19" s="35">
        <f>IF(B19="","",INDEX(Match_Engine!$O$5:$O$104,MATCH(B19,[1]Match_Engine!$C$5:$C$104,0)))</f>
        <v>0.8</v>
      </c>
      <c r="D19" t="str">
        <f>IF(B19="","",INDEX(Match_Engine!$P$5:$P$104,MATCH(B19,[1]Match_Engine!$C$5:$C$104,0)))</f>
        <v>Good Match</v>
      </c>
      <c r="E19" t="str">
        <f>IF(B19="","",Customer_Profile!$B$8&amp;" projects")</f>
        <v>Home projects</v>
      </c>
      <c r="F19" t="str">
        <f>IF(B19="","",INDEX([1]Installer_Database!$F$5:$F$104,MATCH(B19,[1]Installer_Database!$B$5:$B$104,0)))</f>
        <v>Abuja FCT; Kano; Kaduna</v>
      </c>
      <c r="G19" t="str">
        <f>IF(B19="","",INDEX(Match_Engine!$R$5:$R$104,MATCH(B19,[1]Match_Engine!$C$5:$C$104,0)))</f>
        <v>serves your location; good battery/hybrid capability; strong after-sales support</v>
      </c>
      <c r="H19" t="str">
        <f>IF(B19="","",INDEX([1]Installer_Database!$U$5:$U$104,MATCH(B19,[1]Installer_Database!$B$5:$B$104,0)))</f>
        <v>Premium</v>
      </c>
      <c r="I19" t="str">
        <f>IF(B19="","",INDEX([1]Installer_Database!$T$5:$T$104,MATCH(B19,[1]Installer_Database!$B$5:$B$104,0)))</f>
        <v>24-48 hours</v>
      </c>
      <c r="J19" t="s">
        <v>691</v>
      </c>
      <c r="K19" t="s">
        <v>692</v>
      </c>
    </row>
    <row r="20" spans="1:11">
      <c r="A20">
        <v>5</v>
      </c>
      <c r="B20" t="str">
        <f>IFERROR(INDEX(Match_Engine!$C$5:$C$104,MATCH(LARGE(Match_Engine!$O$5:$O$104,5),Match_Engine!$O$5:$O$104,0)),"")</f>
        <v>Ogun Industrial Energy Works</v>
      </c>
      <c r="C20" s="35">
        <f>IF(B20="","",INDEX(Match_Engine!$O$5:$O$104,MATCH(B20,[1]Match_Engine!$C$5:$C$104,0)))</f>
        <v>0.73</v>
      </c>
      <c r="D20" t="str">
        <f>IF(B20="","",INDEX(Match_Engine!$P$5:$P$104,MATCH(B20,[1]Match_Engine!$C$5:$C$104,0)))</f>
        <v>Good Match</v>
      </c>
      <c r="E20" t="str">
        <f>IF(B20="","",[1]Customer_Profile!$B$8&amp;" projects")</f>
        <v>Home projects</v>
      </c>
      <c r="F20" t="str">
        <f>IF(B20="","",INDEX([1]Installer_Database!$F$5:$F$104,MATCH(B20,[1]Installer_Database!$B$5:$B$104,0)))</f>
        <v>Ogun; Lagos</v>
      </c>
      <c r="G20" t="str">
        <f>IF(B20="","",INDEX(Match_Engine!$R$5:$R$104,MATCH(B20,[1]Match_Engine!$C$5:$C$104,0)))</f>
        <v>serves your location; good battery/hybrid capability; strong after-sales support</v>
      </c>
      <c r="H20" t="str">
        <f>IF(B20="","",INDEX([1]Installer_Database!$U$5:$U$104,MATCH(B20,[1]Installer_Database!$B$5:$B$104,0)))</f>
        <v>Mid-range</v>
      </c>
      <c r="I20" t="str">
        <f>IF(B20="","",INDEX([1]Installer_Database!$T$5:$T$104,MATCH(B20,[1]Installer_Database!$B$5:$B$104,0)))</f>
        <v>2-3 days</v>
      </c>
      <c r="J20" t="s">
        <v>691</v>
      </c>
      <c r="K20" t="s">
        <v>692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83A5-F3EE-4070-A234-243E6145B908}">
  <sheetPr>
    <tabColor theme="9" tint="0.59999389629810485"/>
  </sheetPr>
  <dimension ref="A1:N51"/>
  <sheetViews>
    <sheetView workbookViewId="0">
      <selection activeCell="L18" sqref="L18"/>
    </sheetView>
  </sheetViews>
  <sheetFormatPr defaultRowHeight="15"/>
  <cols>
    <col min="1" max="1" width="14.42578125" customWidth="1"/>
    <col min="2" max="2" width="12.140625" customWidth="1"/>
    <col min="3" max="3" width="16.7109375" customWidth="1"/>
    <col min="4" max="4" width="28.42578125" customWidth="1"/>
    <col min="5" max="5" width="22.5703125" customWidth="1"/>
    <col min="6" max="6" width="26.140625" customWidth="1"/>
    <col min="7" max="7" width="23.28515625" customWidth="1"/>
    <col min="8" max="8" width="20" customWidth="1"/>
    <col min="9" max="9" width="20.42578125" customWidth="1"/>
    <col min="10" max="10" width="16.85546875" customWidth="1"/>
    <col min="11" max="11" width="12.140625" customWidth="1"/>
    <col min="12" max="13" width="19.85546875" customWidth="1"/>
    <col min="14" max="14" width="46.5703125" customWidth="1"/>
  </cols>
  <sheetData>
    <row r="1" spans="1:14" ht="18" customHeight="1">
      <c r="A1" s="45" t="s">
        <v>693</v>
      </c>
      <c r="B1" s="45" t="s">
        <v>694</v>
      </c>
      <c r="C1" s="45" t="s">
        <v>613</v>
      </c>
      <c r="D1" s="45" t="s">
        <v>616</v>
      </c>
      <c r="E1" s="45" t="s">
        <v>423</v>
      </c>
      <c r="F1" s="45" t="s">
        <v>424</v>
      </c>
      <c r="G1" s="45" t="s">
        <v>70</v>
      </c>
      <c r="H1" s="45" t="s">
        <v>679</v>
      </c>
      <c r="I1" s="45" t="s">
        <v>420</v>
      </c>
      <c r="J1" s="45" t="s">
        <v>421</v>
      </c>
      <c r="K1" s="45" t="s">
        <v>695</v>
      </c>
      <c r="L1" s="45" t="s">
        <v>696</v>
      </c>
      <c r="M1" s="45" t="s">
        <v>697</v>
      </c>
      <c r="N1" s="45" t="s">
        <v>50</v>
      </c>
    </row>
    <row r="2" spans="1:14">
      <c r="A2" t="s">
        <v>698</v>
      </c>
      <c r="K2" t="s">
        <v>699</v>
      </c>
    </row>
    <row r="3" spans="1:14">
      <c r="A3" t="s">
        <v>700</v>
      </c>
      <c r="K3" t="s">
        <v>699</v>
      </c>
    </row>
    <row r="4" spans="1:14">
      <c r="A4" t="s">
        <v>701</v>
      </c>
      <c r="K4" t="s">
        <v>699</v>
      </c>
    </row>
    <row r="5" spans="1:14">
      <c r="A5" t="s">
        <v>702</v>
      </c>
      <c r="K5" t="s">
        <v>699</v>
      </c>
    </row>
    <row r="6" spans="1:14">
      <c r="A6" t="s">
        <v>703</v>
      </c>
      <c r="K6" t="s">
        <v>699</v>
      </c>
    </row>
    <row r="7" spans="1:14">
      <c r="A7" t="s">
        <v>704</v>
      </c>
      <c r="K7" t="s">
        <v>699</v>
      </c>
    </row>
    <row r="8" spans="1:14">
      <c r="A8" t="s">
        <v>705</v>
      </c>
      <c r="K8" t="s">
        <v>699</v>
      </c>
    </row>
    <row r="9" spans="1:14">
      <c r="A9" t="s">
        <v>706</v>
      </c>
      <c r="K9" t="s">
        <v>699</v>
      </c>
    </row>
    <row r="10" spans="1:14">
      <c r="A10" t="s">
        <v>707</v>
      </c>
      <c r="K10" t="s">
        <v>699</v>
      </c>
    </row>
    <row r="11" spans="1:14">
      <c r="A11" t="s">
        <v>708</v>
      </c>
      <c r="K11" t="s">
        <v>699</v>
      </c>
    </row>
    <row r="12" spans="1:14">
      <c r="A12" t="s">
        <v>709</v>
      </c>
      <c r="K12" t="s">
        <v>699</v>
      </c>
    </row>
    <row r="13" spans="1:14">
      <c r="A13" t="s">
        <v>710</v>
      </c>
      <c r="K13" t="s">
        <v>699</v>
      </c>
    </row>
    <row r="14" spans="1:14">
      <c r="A14" t="s">
        <v>711</v>
      </c>
      <c r="K14" t="s">
        <v>699</v>
      </c>
    </row>
    <row r="15" spans="1:14">
      <c r="A15" t="s">
        <v>712</v>
      </c>
      <c r="K15" t="s">
        <v>699</v>
      </c>
    </row>
    <row r="16" spans="1:14">
      <c r="A16" t="s">
        <v>713</v>
      </c>
      <c r="K16" t="s">
        <v>699</v>
      </c>
    </row>
    <row r="17" spans="1:11">
      <c r="A17" t="s">
        <v>714</v>
      </c>
      <c r="K17" t="s">
        <v>699</v>
      </c>
    </row>
    <row r="18" spans="1:11">
      <c r="A18" t="s">
        <v>715</v>
      </c>
      <c r="K18" t="s">
        <v>699</v>
      </c>
    </row>
    <row r="19" spans="1:11">
      <c r="A19" t="s">
        <v>716</v>
      </c>
      <c r="K19" t="s">
        <v>699</v>
      </c>
    </row>
    <row r="20" spans="1:11">
      <c r="A20" t="s">
        <v>717</v>
      </c>
      <c r="K20" t="s">
        <v>699</v>
      </c>
    </row>
    <row r="21" spans="1:11">
      <c r="A21" t="s">
        <v>718</v>
      </c>
      <c r="K21" t="s">
        <v>699</v>
      </c>
    </row>
    <row r="22" spans="1:11">
      <c r="A22" t="s">
        <v>719</v>
      </c>
      <c r="K22" t="s">
        <v>699</v>
      </c>
    </row>
    <row r="23" spans="1:11">
      <c r="A23" t="s">
        <v>720</v>
      </c>
      <c r="K23" t="s">
        <v>699</v>
      </c>
    </row>
    <row r="24" spans="1:11">
      <c r="A24" t="s">
        <v>721</v>
      </c>
      <c r="K24" t="s">
        <v>699</v>
      </c>
    </row>
    <row r="25" spans="1:11">
      <c r="A25" t="s">
        <v>722</v>
      </c>
      <c r="K25" t="s">
        <v>699</v>
      </c>
    </row>
    <row r="26" spans="1:11">
      <c r="A26" t="s">
        <v>723</v>
      </c>
      <c r="K26" t="s">
        <v>699</v>
      </c>
    </row>
    <row r="27" spans="1:11">
      <c r="A27" t="s">
        <v>724</v>
      </c>
      <c r="K27" t="s">
        <v>699</v>
      </c>
    </row>
    <row r="28" spans="1:11">
      <c r="A28" t="s">
        <v>725</v>
      </c>
      <c r="K28" t="s">
        <v>699</v>
      </c>
    </row>
    <row r="29" spans="1:11">
      <c r="A29" t="s">
        <v>726</v>
      </c>
      <c r="K29" t="s">
        <v>699</v>
      </c>
    </row>
    <row r="30" spans="1:11">
      <c r="A30" t="s">
        <v>727</v>
      </c>
      <c r="K30" t="s">
        <v>699</v>
      </c>
    </row>
    <row r="31" spans="1:11">
      <c r="A31" t="s">
        <v>728</v>
      </c>
      <c r="K31" t="s">
        <v>699</v>
      </c>
    </row>
    <row r="32" spans="1:11">
      <c r="A32" t="s">
        <v>729</v>
      </c>
      <c r="K32" t="s">
        <v>699</v>
      </c>
    </row>
    <row r="33" spans="1:11">
      <c r="A33" t="s">
        <v>730</v>
      </c>
      <c r="K33" t="s">
        <v>699</v>
      </c>
    </row>
    <row r="34" spans="1:11">
      <c r="A34" t="s">
        <v>731</v>
      </c>
      <c r="K34" t="s">
        <v>699</v>
      </c>
    </row>
    <row r="35" spans="1:11">
      <c r="A35" t="s">
        <v>732</v>
      </c>
      <c r="K35" t="s">
        <v>699</v>
      </c>
    </row>
    <row r="36" spans="1:11">
      <c r="A36" t="s">
        <v>733</v>
      </c>
      <c r="K36" t="s">
        <v>699</v>
      </c>
    </row>
    <row r="37" spans="1:11">
      <c r="A37" t="s">
        <v>734</v>
      </c>
      <c r="K37" t="s">
        <v>699</v>
      </c>
    </row>
    <row r="38" spans="1:11">
      <c r="A38" t="s">
        <v>735</v>
      </c>
      <c r="K38" t="s">
        <v>699</v>
      </c>
    </row>
    <row r="39" spans="1:11">
      <c r="A39" t="s">
        <v>736</v>
      </c>
      <c r="K39" t="s">
        <v>699</v>
      </c>
    </row>
    <row r="40" spans="1:11">
      <c r="A40" t="s">
        <v>737</v>
      </c>
      <c r="K40" t="s">
        <v>699</v>
      </c>
    </row>
    <row r="41" spans="1:11">
      <c r="A41" t="s">
        <v>738</v>
      </c>
      <c r="K41" t="s">
        <v>699</v>
      </c>
    </row>
    <row r="42" spans="1:11">
      <c r="A42" t="s">
        <v>739</v>
      </c>
      <c r="K42" t="s">
        <v>699</v>
      </c>
    </row>
    <row r="43" spans="1:11">
      <c r="A43" t="s">
        <v>740</v>
      </c>
      <c r="K43" t="s">
        <v>699</v>
      </c>
    </row>
    <row r="44" spans="1:11">
      <c r="A44" t="s">
        <v>741</v>
      </c>
      <c r="K44" t="s">
        <v>699</v>
      </c>
    </row>
    <row r="45" spans="1:11">
      <c r="A45" t="s">
        <v>742</v>
      </c>
      <c r="K45" t="s">
        <v>699</v>
      </c>
    </row>
    <row r="46" spans="1:11">
      <c r="A46" t="s">
        <v>743</v>
      </c>
      <c r="K46" t="s">
        <v>699</v>
      </c>
    </row>
    <row r="47" spans="1:11">
      <c r="A47" t="s">
        <v>744</v>
      </c>
      <c r="K47" t="s">
        <v>699</v>
      </c>
    </row>
    <row r="48" spans="1:11">
      <c r="A48" t="s">
        <v>745</v>
      </c>
      <c r="K48" t="s">
        <v>699</v>
      </c>
    </row>
    <row r="49" spans="1:11">
      <c r="A49" t="s">
        <v>746</v>
      </c>
      <c r="K49" t="s">
        <v>699</v>
      </c>
    </row>
    <row r="50" spans="1:11">
      <c r="A50" t="s">
        <v>747</v>
      </c>
      <c r="K50" t="s">
        <v>699</v>
      </c>
    </row>
    <row r="51" spans="1:11">
      <c r="A51" t="s">
        <v>748</v>
      </c>
      <c r="K51" t="s">
        <v>699</v>
      </c>
    </row>
  </sheetData>
  <dataValidations count="1">
    <dataValidation type="list" sqref="K2:K51" xr:uid="{258A44A5-2C1E-48DA-B4C4-F43BBA7B1F33}">
      <formula1>"New,Contacted customer,Sent to installer,Installer accepted,Installer declined,Closed won,Closed lost,On hold"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EF7B-2321-4312-B689-7770999B1821}">
  <sheetPr>
    <tabColor theme="9" tint="0.59999389629810485"/>
  </sheetPr>
  <dimension ref="A1:O51"/>
  <sheetViews>
    <sheetView workbookViewId="0">
      <selection activeCell="I2" sqref="I2"/>
    </sheetView>
  </sheetViews>
  <sheetFormatPr defaultRowHeight="15"/>
  <cols>
    <col min="1" max="1" width="13.7109375" customWidth="1"/>
    <col min="2" max="2" width="13.5703125" customWidth="1"/>
    <col min="3" max="3" width="18.5703125" customWidth="1"/>
    <col min="4" max="4" width="31.85546875" customWidth="1"/>
    <col min="5" max="5" width="19" customWidth="1"/>
    <col min="6" max="6" width="21.42578125" customWidth="1"/>
    <col min="7" max="7" width="32.28515625" customWidth="1"/>
    <col min="8" max="9" width="22.42578125" customWidth="1"/>
    <col min="10" max="10" width="20.140625" customWidth="1"/>
    <col min="11" max="11" width="14.5703125" customWidth="1"/>
    <col min="12" max="12" width="17.42578125" customWidth="1"/>
    <col min="13" max="13" width="16" customWidth="1"/>
    <col min="14" max="14" width="32.28515625" customWidth="1"/>
    <col min="15" max="15" width="49.42578125" customWidth="1"/>
  </cols>
  <sheetData>
    <row r="1" spans="1:15" ht="20.45" customHeight="1">
      <c r="A1" s="45" t="s">
        <v>749</v>
      </c>
      <c r="B1" s="45" t="s">
        <v>694</v>
      </c>
      <c r="C1" s="45" t="s">
        <v>613</v>
      </c>
      <c r="D1" s="45" t="s">
        <v>616</v>
      </c>
      <c r="E1" s="45" t="s">
        <v>70</v>
      </c>
      <c r="F1" s="45" t="s">
        <v>679</v>
      </c>
      <c r="G1" s="45" t="s">
        <v>750</v>
      </c>
      <c r="H1" s="45" t="s">
        <v>751</v>
      </c>
      <c r="I1" s="45" t="s">
        <v>752</v>
      </c>
      <c r="J1" s="45" t="s">
        <v>753</v>
      </c>
      <c r="K1" s="45" t="s">
        <v>754</v>
      </c>
      <c r="L1" s="45" t="s">
        <v>755</v>
      </c>
      <c r="M1" s="45" t="s">
        <v>756</v>
      </c>
      <c r="N1" s="45" t="s">
        <v>757</v>
      </c>
      <c r="O1" s="45" t="s">
        <v>50</v>
      </c>
    </row>
    <row r="2" spans="1:15">
      <c r="A2" t="s">
        <v>758</v>
      </c>
      <c r="L2" t="s">
        <v>699</v>
      </c>
    </row>
    <row r="3" spans="1:15">
      <c r="A3" t="s">
        <v>759</v>
      </c>
      <c r="L3" t="s">
        <v>699</v>
      </c>
    </row>
    <row r="4" spans="1:15">
      <c r="A4" t="s">
        <v>760</v>
      </c>
      <c r="L4" t="s">
        <v>699</v>
      </c>
    </row>
    <row r="5" spans="1:15">
      <c r="A5" t="s">
        <v>761</v>
      </c>
      <c r="L5" t="s">
        <v>699</v>
      </c>
    </row>
    <row r="6" spans="1:15">
      <c r="A6" t="s">
        <v>762</v>
      </c>
      <c r="L6" t="s">
        <v>699</v>
      </c>
    </row>
    <row r="7" spans="1:15">
      <c r="A7" t="s">
        <v>763</v>
      </c>
      <c r="L7" t="s">
        <v>699</v>
      </c>
    </row>
    <row r="8" spans="1:15">
      <c r="A8" t="s">
        <v>764</v>
      </c>
      <c r="L8" t="s">
        <v>699</v>
      </c>
    </row>
    <row r="9" spans="1:15">
      <c r="A9" t="s">
        <v>765</v>
      </c>
      <c r="L9" t="s">
        <v>699</v>
      </c>
    </row>
    <row r="10" spans="1:15">
      <c r="A10" t="s">
        <v>766</v>
      </c>
      <c r="L10" t="s">
        <v>699</v>
      </c>
    </row>
    <row r="11" spans="1:15">
      <c r="A11" t="s">
        <v>767</v>
      </c>
      <c r="L11" t="s">
        <v>699</v>
      </c>
    </row>
    <row r="12" spans="1:15">
      <c r="A12" t="s">
        <v>768</v>
      </c>
      <c r="L12" t="s">
        <v>699</v>
      </c>
    </row>
    <row r="13" spans="1:15">
      <c r="A13" t="s">
        <v>769</v>
      </c>
      <c r="L13" t="s">
        <v>699</v>
      </c>
    </row>
    <row r="14" spans="1:15">
      <c r="A14" t="s">
        <v>770</v>
      </c>
      <c r="L14" t="s">
        <v>699</v>
      </c>
    </row>
    <row r="15" spans="1:15">
      <c r="A15" t="s">
        <v>771</v>
      </c>
      <c r="L15" t="s">
        <v>699</v>
      </c>
    </row>
    <row r="16" spans="1:15">
      <c r="A16" t="s">
        <v>772</v>
      </c>
      <c r="L16" t="s">
        <v>699</v>
      </c>
    </row>
    <row r="17" spans="1:12">
      <c r="A17" t="s">
        <v>773</v>
      </c>
      <c r="L17" t="s">
        <v>699</v>
      </c>
    </row>
    <row r="18" spans="1:12">
      <c r="A18" t="s">
        <v>774</v>
      </c>
      <c r="L18" t="s">
        <v>699</v>
      </c>
    </row>
    <row r="19" spans="1:12">
      <c r="A19" t="s">
        <v>775</v>
      </c>
      <c r="L19" t="s">
        <v>699</v>
      </c>
    </row>
    <row r="20" spans="1:12">
      <c r="A20" t="s">
        <v>776</v>
      </c>
      <c r="L20" t="s">
        <v>699</v>
      </c>
    </row>
    <row r="21" spans="1:12">
      <c r="A21" t="s">
        <v>777</v>
      </c>
      <c r="L21" t="s">
        <v>699</v>
      </c>
    </row>
    <row r="22" spans="1:12">
      <c r="A22" t="s">
        <v>778</v>
      </c>
      <c r="L22" t="s">
        <v>699</v>
      </c>
    </row>
    <row r="23" spans="1:12">
      <c r="A23" t="s">
        <v>779</v>
      </c>
      <c r="L23" t="s">
        <v>699</v>
      </c>
    </row>
    <row r="24" spans="1:12">
      <c r="A24" t="s">
        <v>780</v>
      </c>
      <c r="L24" t="s">
        <v>699</v>
      </c>
    </row>
    <row r="25" spans="1:12">
      <c r="A25" t="s">
        <v>781</v>
      </c>
      <c r="L25" t="s">
        <v>699</v>
      </c>
    </row>
    <row r="26" spans="1:12">
      <c r="A26" t="s">
        <v>782</v>
      </c>
      <c r="L26" t="s">
        <v>699</v>
      </c>
    </row>
    <row r="27" spans="1:12">
      <c r="A27" t="s">
        <v>783</v>
      </c>
      <c r="L27" t="s">
        <v>699</v>
      </c>
    </row>
    <row r="28" spans="1:12">
      <c r="A28" t="s">
        <v>784</v>
      </c>
      <c r="L28" t="s">
        <v>699</v>
      </c>
    </row>
    <row r="29" spans="1:12">
      <c r="A29" t="s">
        <v>785</v>
      </c>
      <c r="L29" t="s">
        <v>699</v>
      </c>
    </row>
    <row r="30" spans="1:12">
      <c r="A30" t="s">
        <v>786</v>
      </c>
      <c r="L30" t="s">
        <v>699</v>
      </c>
    </row>
    <row r="31" spans="1:12">
      <c r="A31" t="s">
        <v>787</v>
      </c>
      <c r="L31" t="s">
        <v>699</v>
      </c>
    </row>
    <row r="32" spans="1:12">
      <c r="A32" t="s">
        <v>788</v>
      </c>
      <c r="L32" t="s">
        <v>699</v>
      </c>
    </row>
    <row r="33" spans="1:12">
      <c r="A33" t="s">
        <v>789</v>
      </c>
      <c r="L33" t="s">
        <v>699</v>
      </c>
    </row>
    <row r="34" spans="1:12">
      <c r="A34" t="s">
        <v>790</v>
      </c>
      <c r="L34" t="s">
        <v>699</v>
      </c>
    </row>
    <row r="35" spans="1:12">
      <c r="A35" t="s">
        <v>791</v>
      </c>
      <c r="L35" t="s">
        <v>699</v>
      </c>
    </row>
    <row r="36" spans="1:12">
      <c r="A36" t="s">
        <v>792</v>
      </c>
      <c r="L36" t="s">
        <v>699</v>
      </c>
    </row>
    <row r="37" spans="1:12">
      <c r="A37" t="s">
        <v>793</v>
      </c>
      <c r="L37" t="s">
        <v>699</v>
      </c>
    </row>
    <row r="38" spans="1:12">
      <c r="A38" t="s">
        <v>794</v>
      </c>
      <c r="L38" t="s">
        <v>699</v>
      </c>
    </row>
    <row r="39" spans="1:12">
      <c r="A39" t="s">
        <v>795</v>
      </c>
      <c r="L39" t="s">
        <v>699</v>
      </c>
    </row>
    <row r="40" spans="1:12">
      <c r="A40" t="s">
        <v>796</v>
      </c>
      <c r="L40" t="s">
        <v>699</v>
      </c>
    </row>
    <row r="41" spans="1:12">
      <c r="A41" t="s">
        <v>797</v>
      </c>
      <c r="L41" t="s">
        <v>699</v>
      </c>
    </row>
    <row r="42" spans="1:12">
      <c r="A42" t="s">
        <v>798</v>
      </c>
      <c r="L42" t="s">
        <v>699</v>
      </c>
    </row>
    <row r="43" spans="1:12">
      <c r="A43" t="s">
        <v>799</v>
      </c>
      <c r="L43" t="s">
        <v>699</v>
      </c>
    </row>
    <row r="44" spans="1:12">
      <c r="A44" t="s">
        <v>800</v>
      </c>
      <c r="L44" t="s">
        <v>699</v>
      </c>
    </row>
    <row r="45" spans="1:12">
      <c r="A45" t="s">
        <v>801</v>
      </c>
      <c r="L45" t="s">
        <v>699</v>
      </c>
    </row>
    <row r="46" spans="1:12">
      <c r="A46" t="s">
        <v>802</v>
      </c>
      <c r="L46" t="s">
        <v>699</v>
      </c>
    </row>
    <row r="47" spans="1:12">
      <c r="A47" t="s">
        <v>803</v>
      </c>
      <c r="L47" t="s">
        <v>699</v>
      </c>
    </row>
    <row r="48" spans="1:12">
      <c r="A48" t="s">
        <v>804</v>
      </c>
      <c r="L48" t="s">
        <v>699</v>
      </c>
    </row>
    <row r="49" spans="1:12">
      <c r="A49" t="s">
        <v>805</v>
      </c>
      <c r="L49" t="s">
        <v>699</v>
      </c>
    </row>
    <row r="50" spans="1:12">
      <c r="A50" t="s">
        <v>806</v>
      </c>
      <c r="L50" t="s">
        <v>699</v>
      </c>
    </row>
    <row r="51" spans="1:12">
      <c r="A51" t="s">
        <v>807</v>
      </c>
      <c r="L51" t="s">
        <v>699</v>
      </c>
    </row>
  </sheetData>
  <dataValidations count="2">
    <dataValidation type="list" sqref="M2:M51" xr:uid="{1AB6CA41-6E3A-4C9D-A363-6FBB1896327F}">
      <formula1>"Low,Medium,High,Critical"</formula1>
    </dataValidation>
    <dataValidation type="list" sqref="L2:L51" xr:uid="{AF866BEB-6C7A-4218-BB44-B1128D145A06}">
      <formula1>"New,Documents requested,Under review,Clarification needed,Report issued,Closed"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6</vt:i4>
      </vt:variant>
    </vt:vector>
  </HeadingPairs>
  <TitlesOfParts>
    <vt:vector size="31" baseType="lpstr">
      <vt:lpstr>Overview</vt:lpstr>
      <vt:lpstr>User_Inputs</vt:lpstr>
      <vt:lpstr>Bill_Input</vt:lpstr>
      <vt:lpstr>Equipment Default</vt:lpstr>
      <vt:lpstr>Category Menu</vt:lpstr>
      <vt:lpstr>Appliance_Library</vt:lpstr>
      <vt:lpstr>Appliance_Input</vt:lpstr>
      <vt:lpstr>Custom_Equipment</vt:lpstr>
      <vt:lpstr>Objective_Logic</vt:lpstr>
      <vt:lpstr>Assumptions</vt:lpstr>
      <vt:lpstr>Load_Estimation</vt:lpstr>
      <vt:lpstr>Battery_Sizing</vt:lpstr>
      <vt:lpstr>Solar_Sizing</vt:lpstr>
      <vt:lpstr>Diesel_Economics</vt:lpstr>
      <vt:lpstr>Financial_Model</vt:lpstr>
      <vt:lpstr>Formula_Map</vt:lpstr>
      <vt:lpstr>Lead_Routing</vt:lpstr>
      <vt:lpstr>Outputs</vt:lpstr>
      <vt:lpstr>Developer_Bridge</vt:lpstr>
      <vt:lpstr>Customer_Profile</vt:lpstr>
      <vt:lpstr>Installer_Database</vt:lpstr>
      <vt:lpstr>Match_Engine</vt:lpstr>
      <vt:lpstr>Installer_Results_Output</vt:lpstr>
      <vt:lpstr>Introduction_Tracker</vt:lpstr>
      <vt:lpstr>Quote_Review_Tracker</vt:lpstr>
      <vt:lpstr>Commercial</vt:lpstr>
      <vt:lpstr>Factory</vt:lpstr>
      <vt:lpstr>Home</vt:lpstr>
      <vt:lpstr>Hospital</vt:lpstr>
      <vt:lpstr>Hotel</vt:lpstr>
      <vt:lpstr>School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Ekaette</dc:creator>
  <cp:lastModifiedBy>Hi</cp:lastModifiedBy>
  <dcterms:created xsi:type="dcterms:W3CDTF">2026-03-12T20:56:27Z</dcterms:created>
  <dcterms:modified xsi:type="dcterms:W3CDTF">2026-07-31T04:01:33Z</dcterms:modified>
</cp:coreProperties>
</file>